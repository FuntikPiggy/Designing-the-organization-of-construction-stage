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99C9086-67A9-5B14-2C2D-5A8001700F7D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Работа_Гурин\!!!!!_____Помощь\Расчеты мои\Свая\"/>
    </mc:Choice>
  </mc:AlternateContent>
  <xr:revisionPtr revIDLastSave="0" documentId="8_{F40EF1EF-D153-4107-81C1-28C018FE1C46}" xr6:coauthVersionLast="47" xr6:coauthVersionMax="47" xr10:uidLastSave="{00000000-0000-0000-0000-000000000000}"/>
  <bookViews>
    <workbookView xWindow="-25320" yWindow="-120" windowWidth="25440" windowHeight="15270" xr2:uid="{00000000-000D-0000-FFFF-FFFF00000000}"/>
  </bookViews>
  <sheets>
    <sheet name="Оп1" sheetId="38" r:id="rId1"/>
    <sheet name="Оп2" sheetId="39" r:id="rId2"/>
    <sheet name="Сводная" sheetId="36" r:id="rId3"/>
    <sheet name="Таблицы" sheetId="3" r:id="rId4"/>
  </sheets>
  <definedNames>
    <definedName name="_TO0000003" localSheetId="3">Таблицы!$B$2</definedName>
    <definedName name="_TO0000004" localSheetId="3">Таблицы!$L$2</definedName>
    <definedName name="_xlnm.Print_Area" localSheetId="0">Оп1!$B$1:$AI$8</definedName>
    <definedName name="_xlnm.Print_Area" localSheetId="1">Оп2!$B$1:$AI$8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38" l="1"/>
  <c r="I8" i="38"/>
  <c r="B31" i="39"/>
  <c r="B30" i="39"/>
  <c r="E24" i="39"/>
  <c r="E23" i="39"/>
  <c r="M16" i="39"/>
  <c r="L13" i="39"/>
  <c r="R7" i="39"/>
  <c r="E7" i="39"/>
  <c r="Z7" i="39" s="1"/>
  <c r="R6" i="39"/>
  <c r="Q6" i="39" s="1"/>
  <c r="S6" i="39" s="1"/>
  <c r="E6" i="39"/>
  <c r="Z6" i="39" s="1"/>
  <c r="U6" i="39" s="1"/>
  <c r="G9" i="36"/>
  <c r="F9" i="36"/>
  <c r="D6" i="36"/>
  <c r="H8" i="36"/>
  <c r="C6" i="36"/>
  <c r="J7" i="36"/>
  <c r="G6" i="36"/>
  <c r="C8" i="36"/>
  <c r="J8" i="36"/>
  <c r="J6" i="36"/>
  <c r="H7" i="36"/>
  <c r="E8" i="36"/>
  <c r="C7" i="36"/>
  <c r="F8" i="36"/>
  <c r="H11" i="36"/>
  <c r="E10" i="36"/>
  <c r="I11" i="36"/>
  <c r="H6" i="36"/>
  <c r="E6" i="36"/>
  <c r="F5" i="36"/>
  <c r="D5" i="36"/>
  <c r="G7" i="36"/>
  <c r="C5" i="36"/>
  <c r="G5" i="36"/>
  <c r="I7" i="36"/>
  <c r="H5" i="36"/>
  <c r="I9" i="36"/>
  <c r="J10" i="36"/>
  <c r="I5" i="36"/>
  <c r="F10" i="36"/>
  <c r="J5" i="36"/>
  <c r="G10" i="36"/>
  <c r="H9" i="36"/>
  <c r="F6" i="36"/>
  <c r="H10" i="36"/>
  <c r="E9" i="36"/>
  <c r="I8" i="36"/>
  <c r="J11" i="36"/>
  <c r="D7" i="36"/>
  <c r="G8" i="36"/>
  <c r="E7" i="36"/>
  <c r="I10" i="36"/>
  <c r="F11" i="36"/>
  <c r="E11" i="36"/>
  <c r="E5" i="36"/>
  <c r="J9" i="36"/>
  <c r="G11" i="36"/>
  <c r="F7" i="36"/>
  <c r="D8" i="36"/>
  <c r="I6" i="36"/>
  <c r="E15" i="39" l="1"/>
  <c r="Q7" i="39"/>
  <c r="S7" i="39" s="1"/>
  <c r="V6" i="39"/>
  <c r="X6" i="39"/>
  <c r="U7" i="39"/>
  <c r="L16" i="39"/>
  <c r="N16" i="39" s="1"/>
  <c r="AE6" i="39"/>
  <c r="D12" i="36"/>
  <c r="E12" i="36" s="1"/>
  <c r="D9" i="36"/>
  <c r="AH6" i="39" l="1"/>
  <c r="AC6" i="39" s="1"/>
  <c r="AF6" i="39"/>
  <c r="AA6" i="39" s="1"/>
  <c r="X7" i="39"/>
  <c r="V7" i="39"/>
  <c r="E17" i="39"/>
  <c r="K18" i="39"/>
  <c r="E21" i="39"/>
  <c r="AE7" i="39"/>
  <c r="W6" i="39"/>
  <c r="F12" i="36"/>
  <c r="E13" i="36"/>
  <c r="E23" i="38"/>
  <c r="D10" i="36"/>
  <c r="AG6" i="39" l="1"/>
  <c r="AB6" i="39"/>
  <c r="H6" i="39" s="1"/>
  <c r="AH7" i="39"/>
  <c r="AC7" i="39" s="1"/>
  <c r="AF7" i="39"/>
  <c r="K17" i="39"/>
  <c r="K19" i="39" s="1"/>
  <c r="W7" i="39"/>
  <c r="F13" i="36"/>
  <c r="G12" i="36"/>
  <c r="L13" i="38"/>
  <c r="R7" i="38"/>
  <c r="E7" i="38"/>
  <c r="R6" i="38"/>
  <c r="E6" i="38"/>
  <c r="Z6" i="38" s="1"/>
  <c r="U6" i="38" s="1"/>
  <c r="E24" i="38"/>
  <c r="M16" i="38"/>
  <c r="L16" i="38" s="1"/>
  <c r="B31" i="38"/>
  <c r="B30" i="38"/>
  <c r="C9" i="36"/>
  <c r="I6" i="39" l="1"/>
  <c r="AG7" i="39"/>
  <c r="AA7" i="39"/>
  <c r="AB7" i="39" s="1"/>
  <c r="H7" i="39" s="1"/>
  <c r="I7" i="39" s="1"/>
  <c r="N19" i="39"/>
  <c r="L19" i="39"/>
  <c r="N17" i="39"/>
  <c r="N18" i="39" s="1"/>
  <c r="L17" i="39"/>
  <c r="Z7" i="38"/>
  <c r="U7" i="38" s="1"/>
  <c r="K18" i="38"/>
  <c r="K17" i="38" s="1"/>
  <c r="K19" i="38" s="1"/>
  <c r="G13" i="36"/>
  <c r="H12" i="36"/>
  <c r="E21" i="38"/>
  <c r="Q6" i="38"/>
  <c r="V6" i="38" s="1"/>
  <c r="N16" i="38"/>
  <c r="AE6" i="38"/>
  <c r="Q7" i="38"/>
  <c r="S7" i="38" s="1"/>
  <c r="I8" i="39" l="1"/>
  <c r="X7" i="38"/>
  <c r="E17" i="38"/>
  <c r="AE7" i="38"/>
  <c r="AH7" i="38" s="1"/>
  <c r="AC7" i="38" s="1"/>
  <c r="M19" i="39"/>
  <c r="E32" i="39"/>
  <c r="M17" i="39"/>
  <c r="L18" i="39"/>
  <c r="M18" i="39" s="1"/>
  <c r="E14" i="39" s="1"/>
  <c r="S6" i="38"/>
  <c r="X6" i="38" s="1"/>
  <c r="W6" i="38" s="1"/>
  <c r="V7" i="38"/>
  <c r="H13" i="36"/>
  <c r="I12" i="36"/>
  <c r="N17" i="38"/>
  <c r="L17" i="38"/>
  <c r="N19" i="38"/>
  <c r="L19" i="38"/>
  <c r="AF6" i="38"/>
  <c r="C10" i="36"/>
  <c r="W7" i="38" l="1"/>
  <c r="AF7" i="38"/>
  <c r="AA7" i="38" s="1"/>
  <c r="AB7" i="38" s="1"/>
  <c r="H7" i="38" s="1"/>
  <c r="I7" i="38" s="1"/>
  <c r="AH6" i="38"/>
  <c r="AC6" i="38" s="1"/>
  <c r="E26" i="39"/>
  <c r="E28" i="39"/>
  <c r="E27" i="39"/>
  <c r="I13" i="36"/>
  <c r="J12" i="36"/>
  <c r="J13" i="36" s="1"/>
  <c r="M17" i="38"/>
  <c r="N18" i="38"/>
  <c r="AA6" i="38"/>
  <c r="M19" i="38"/>
  <c r="L18" i="38"/>
  <c r="AG7" i="38" l="1"/>
  <c r="AG6" i="38"/>
  <c r="AB6" i="38"/>
  <c r="H6" i="38" s="1"/>
  <c r="I6" i="38" s="1"/>
  <c r="E29" i="39"/>
  <c r="E31" i="39"/>
  <c r="E30" i="39"/>
  <c r="M18" i="38"/>
  <c r="E14" i="38" s="1"/>
  <c r="D11" i="36"/>
  <c r="D13" i="36" l="1"/>
  <c r="B33" i="3"/>
  <c r="B35" i="3" s="1"/>
  <c r="C35" i="3" s="1"/>
  <c r="C32" i="3"/>
  <c r="E32" i="3"/>
  <c r="M24" i="3"/>
  <c r="O24" i="3" s="1"/>
  <c r="L25" i="3"/>
  <c r="Q24" i="3"/>
  <c r="C22" i="3"/>
  <c r="E22" i="3" s="1"/>
  <c r="E23" i="3" s="1"/>
  <c r="M25" i="3" l="1"/>
  <c r="C23" i="3"/>
  <c r="D23" i="3" s="1"/>
  <c r="E33" i="3"/>
  <c r="C33" i="3"/>
  <c r="O25" i="3"/>
  <c r="L27" i="3"/>
  <c r="E35" i="3"/>
  <c r="D33" i="3" l="1"/>
  <c r="N25" i="3"/>
  <c r="E34" i="3"/>
  <c r="C34" i="3"/>
  <c r="O27" i="3"/>
  <c r="O26" i="3" s="1"/>
  <c r="M27" i="3"/>
  <c r="D35" i="3"/>
  <c r="D34" i="3"/>
  <c r="N27" i="3" l="1"/>
  <c r="M26" i="3"/>
  <c r="N26" i="3" l="1"/>
  <c r="E28" i="38"/>
  <c r="E27" i="38"/>
  <c r="E26" i="38"/>
  <c r="E32" i="38"/>
  <c r="E29" i="38" l="1"/>
  <c r="E30" i="38"/>
  <c r="E31" i="38"/>
  <c r="C11" i="36"/>
  <c r="C13" i="3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Гурин В.С.</author>
    <author>pos_gvs</author>
  </authors>
  <commentList>
    <comment ref="C5" authorId="0" shapeId="0" xr:uid="{69043E74-7A1E-42E4-A68E-E487CF7FAE5B}">
      <text>
        <r>
          <rPr>
            <b/>
            <sz val="9"/>
            <color indexed="81"/>
            <rFont val="Tahoma"/>
            <family val="2"/>
            <charset val="204"/>
          </rPr>
          <t>Гурин В.С.:</t>
        </r>
        <r>
          <rPr>
            <sz val="9"/>
            <color indexed="81"/>
            <rFont val="Tahoma"/>
            <family val="2"/>
            <charset val="204"/>
          </rPr>
          <t xml:space="preserve">
При наличии в наименовании слова "плотный", несущая способность увеличивается на 30%, при наличии слова "рыхлый" - уменьшается на 50%.</t>
        </r>
      </text>
    </comment>
    <comment ref="D5" authorId="1" shapeId="0" xr:uid="{374AAFA3-3549-4F47-AE9F-9A4DAF7AA0C8}">
      <text>
        <r>
          <rPr>
            <b/>
            <sz val="8"/>
            <color indexed="81"/>
            <rFont val="Tahoma"/>
            <family val="2"/>
            <charset val="204"/>
          </rPr>
          <t>pos_gvs:</t>
        </r>
        <r>
          <rPr>
            <sz val="8"/>
            <color indexed="81"/>
            <rFont val="Tahoma"/>
            <family val="2"/>
            <charset val="204"/>
          </rPr>
          <t xml:space="preserve">
Толщина i-го слоя грунта, соприкасающегося с боковой поверхностью сваи, м</t>
        </r>
      </text>
    </comment>
    <comment ref="F5" authorId="1" shapeId="0" xr:uid="{E8B11B1F-D310-4D0B-9ECE-14D88630C28D}">
      <text>
        <r>
          <rPr>
            <b/>
            <sz val="8"/>
            <color indexed="81"/>
            <rFont val="Tahoma"/>
            <family val="2"/>
            <charset val="204"/>
          </rPr>
          <t>pos_gvs:</t>
        </r>
        <r>
          <rPr>
            <sz val="8"/>
            <color indexed="81"/>
            <rFont val="Tahoma"/>
            <family val="2"/>
            <charset val="204"/>
          </rPr>
          <t xml:space="preserve">
Смотри таблицы (лист)</t>
        </r>
      </text>
    </comment>
    <comment ref="G5" authorId="1" shapeId="0" xr:uid="{36F1ABEF-3541-4FA9-B260-4B923209F4A8}">
      <text>
        <r>
          <rPr>
            <b/>
            <sz val="8"/>
            <color indexed="81"/>
            <rFont val="Tahoma"/>
            <family val="2"/>
            <charset val="204"/>
          </rPr>
          <t>pos_gvs:</t>
        </r>
        <r>
          <rPr>
            <sz val="8"/>
            <color indexed="81"/>
            <rFont val="Tahoma"/>
            <family val="2"/>
            <charset val="204"/>
          </rPr>
          <t xml:space="preserve">
Коэффициент условий работы грунта на боковой поверхности сваи, зависящий от способа образования скважины и условий бетонирования и принимаемый по таблице 7.4 (см. лист "Таблицы")
п. 7.2.20 При определении несущей способности стальной трубчатой сваи с открытым нижним концом коэффициент условий работы грунта под нижним концом грунтовой пробки  принимается равным 0,5, а коэффициент условий работы грунта на боковой поверхности (наружной или внутренней) сваи , учитывающий вид грунта в слоях, принимается равным: 0,52 - для песчаных слоев грунта; 0,43 - для глинистых слоев грунта; 0,47 - для супесчаных слоев грунта.</t>
        </r>
      </text>
    </comment>
    <comment ref="H5" authorId="1" shapeId="0" xr:uid="{4FB02171-8705-47A2-8241-6255753AB929}">
      <text>
        <r>
          <rPr>
            <b/>
            <sz val="8"/>
            <color indexed="81"/>
            <rFont val="Tahoma"/>
            <family val="2"/>
            <charset val="204"/>
          </rPr>
          <t>pos_gvs:</t>
        </r>
        <r>
          <rPr>
            <sz val="8"/>
            <color indexed="81"/>
            <rFont val="Tahoma"/>
            <family val="2"/>
            <charset val="204"/>
          </rPr>
          <t xml:space="preserve">
Расчетное сопротивление слоя грунта на боковой поверхности ствола сваи, кПа, принимаемое по таблице 7.3</t>
        </r>
      </text>
    </comment>
    <comment ref="L6" authorId="1" shapeId="0" xr:uid="{900D8328-8D51-4FAB-9A8F-445EC4D42308}">
      <text>
        <r>
          <rPr>
            <b/>
            <sz val="8"/>
            <color indexed="81"/>
            <rFont val="Tahoma"/>
            <family val="2"/>
            <charset val="204"/>
          </rPr>
          <t>pos_gvs:</t>
        </r>
        <r>
          <rPr>
            <sz val="8"/>
            <color indexed="81"/>
            <rFont val="Tahoma"/>
            <family val="2"/>
            <charset val="204"/>
          </rPr>
          <t xml:space="preserve">
Если его нет, то указать показатель текучести, соответствующий столбику (например, для мелких песков - 0.3), из которого брать значения</t>
        </r>
      </text>
    </comment>
    <comment ref="Z6" authorId="1" shapeId="0" xr:uid="{F702C07A-A3D9-4B11-A59B-662521A54F8D}">
      <text>
        <r>
          <rPr>
            <b/>
            <sz val="8"/>
            <color indexed="81"/>
            <rFont val="Tahoma"/>
            <family val="2"/>
            <charset val="204"/>
          </rPr>
          <t>pos_gvs:</t>
        </r>
        <r>
          <rPr>
            <sz val="8"/>
            <color indexed="81"/>
            <rFont val="Tahoma"/>
            <family val="2"/>
            <charset val="204"/>
          </rPr>
          <t xml:space="preserve">
Глубина до середины слоя</t>
        </r>
      </text>
    </comment>
    <comment ref="L7" authorId="1" shapeId="0" xr:uid="{5764C158-A551-4474-B4A6-F9946AAF6FD6}">
      <text>
        <r>
          <rPr>
            <b/>
            <sz val="8"/>
            <color indexed="81"/>
            <rFont val="Tahoma"/>
            <family val="2"/>
            <charset val="204"/>
          </rPr>
          <t>pos_gvs:</t>
        </r>
        <r>
          <rPr>
            <sz val="8"/>
            <color indexed="81"/>
            <rFont val="Tahoma"/>
            <family val="2"/>
            <charset val="204"/>
          </rPr>
          <t xml:space="preserve">
Если его нет, то указать показатель текучести, соответствующий столбику (например, для мелких песков - 0.3), из которого брать значения</t>
        </r>
      </text>
    </comment>
    <comment ref="Z7" authorId="1" shapeId="0" xr:uid="{38721B82-9148-455B-BDF2-6F8513B97FCB}">
      <text>
        <r>
          <rPr>
            <b/>
            <sz val="8"/>
            <color indexed="81"/>
            <rFont val="Tahoma"/>
            <family val="2"/>
            <charset val="204"/>
          </rPr>
          <t>pos_gvs:</t>
        </r>
        <r>
          <rPr>
            <sz val="8"/>
            <color indexed="81"/>
            <rFont val="Tahoma"/>
            <family val="2"/>
            <charset val="204"/>
          </rPr>
          <t xml:space="preserve">
Глубина до середины слоя</t>
        </r>
      </text>
    </comment>
    <comment ref="E14" authorId="0" shapeId="0" xr:uid="{976A6231-4618-4654-B25C-9DEFD6CDC3E0}">
      <text>
        <r>
          <rPr>
            <b/>
            <sz val="9"/>
            <color indexed="81"/>
            <rFont val="Tahoma"/>
            <family val="2"/>
            <charset val="204"/>
          </rPr>
          <t>Гурин В.С.:</t>
        </r>
        <r>
          <rPr>
            <sz val="9"/>
            <color indexed="81"/>
            <rFont val="Tahoma"/>
            <family val="2"/>
            <charset val="204"/>
          </rPr>
          <t xml:space="preserve">
Примечание к таблице 7.2:
4 Для плотных песков, плотность которых определена по данным статического зондирования, значения R по таблице 7.2 для свай, погруженных без использования подмыва или лидерных скважин, следует увеличить на 100% - для песков крупных и средней крупности и на 130% - для песков мелких и пылеватых. При определении плотности грунта по данным других видов инженерных изысканий и отсутствии данных статического зондирования для плотных песков значения R по таблице 7.2 следует увеличить на 60% - для песков крупных и средней крупности и на 75% - для песков мелких и пылеватых, но не более чем до 20000 кПа.</t>
        </r>
      </text>
    </comment>
    <comment ref="E15" authorId="0" shapeId="0" xr:uid="{AB1E9E84-C6CF-420C-B277-367F4B44A5C2}">
      <text>
        <r>
          <rPr>
            <b/>
            <sz val="9"/>
            <color indexed="81"/>
            <rFont val="Tahoma"/>
            <family val="2"/>
            <charset val="204"/>
          </rPr>
          <t>Для опор мостов - от дна водоема после его общего размыва при расчетном паводке</t>
        </r>
      </text>
    </comment>
    <comment ref="L15" authorId="1" shapeId="0" xr:uid="{07BDCA2B-910D-40B9-97F1-50D1120092B3}">
      <text>
        <r>
          <rPr>
            <b/>
            <sz val="8"/>
            <color indexed="81"/>
            <rFont val="Tahoma"/>
            <family val="2"/>
            <charset val="204"/>
          </rPr>
          <t>pos_gvs:</t>
        </r>
        <r>
          <rPr>
            <sz val="8"/>
            <color indexed="81"/>
            <rFont val="Tahoma"/>
            <family val="2"/>
            <charset val="204"/>
          </rPr>
          <t xml:space="preserve">
Если его нет, то указать показатель текучести, соответствующий столбику (например, для мелких песков - 0.3), из которого брать значения</t>
        </r>
      </text>
    </comment>
    <comment ref="K18" authorId="1" shapeId="0" xr:uid="{3F1F585E-4A26-4D5B-8F95-F4363FB897A5}">
      <text>
        <r>
          <rPr>
            <b/>
            <sz val="8"/>
            <color indexed="81"/>
            <rFont val="Tahoma"/>
            <family val="2"/>
            <charset val="204"/>
          </rPr>
          <t>pos_gvs:</t>
        </r>
        <r>
          <rPr>
            <sz val="8"/>
            <color indexed="81"/>
            <rFont val="Tahoma"/>
            <family val="2"/>
            <charset val="204"/>
          </rPr>
          <t xml:space="preserve">
Глубина до середины слоя</t>
        </r>
      </text>
    </comment>
    <comment ref="E23" authorId="0" shapeId="0" xr:uid="{7A76B378-60F1-4ED9-BA9D-AE5E34079B53}">
      <text>
        <r>
          <rPr>
            <b/>
            <sz val="9"/>
            <color indexed="81"/>
            <rFont val="Tahoma"/>
            <family val="2"/>
            <charset val="204"/>
          </rPr>
          <t>Принимаемая по площади поперечного сечения сваи брутто или по площади поперечного сечения камуфлетного уширения по его наибольшему диаметру, или по площади сваи-оболочки нетто</t>
        </r>
      </text>
    </comment>
    <comment ref="E25" authorId="0" shapeId="0" xr:uid="{2E13DF8D-7765-4700-82E0-BC7CE4A761ED}">
      <text>
        <r>
          <rPr>
            <b/>
            <sz val="9"/>
            <color indexed="81"/>
            <rFont val="Tahoma"/>
            <family val="2"/>
            <charset val="204"/>
          </rPr>
          <t>Гурин В.С.:
γk - коэффициент надежности по грунту, принимаемый равным:
1,2 - если несущая способность сваи определена по результатам полевых испытаний статической нагрузкой;
1,25 - если несущая способность сваи определена расчетом по результатам статического зондирования грунта или по результатам динамических испытаний сваи, выполненных с учетом упругих деформаций грунта, а также по результатам полевых испытаний грунтов эталонной сваей или сваей-зондом;
1,4 - если несущая способность сваи определена расчетом, в том числе по результатам динамических испытаний свай, выполненных без учета упругих деформаций грунта;
1,4 (1,25) - для фундаментов опор мостов при низком ростверке, на висячих сваях (сваях трения) и сваях-стойках, а при высоком ростверке - только при сваях-стойках, воспринимающих сжимающую нагрузку независимо от числа свай в фундаменте.
Для фундаментов опор мостов и для гидротехнических сооружений при высоком или низком ростверке, подошва которого опирается на сильносжимаемый грунт, и висячих сваях, воспринимающих сжимающую нагрузку, а также для любых сооружений при любом виде ростверка и висячих сваях и сваях-стойках, воспринимающих выдергивающую нагрузку, γk принимают в зависимости от числа свай в фундаменте:
При  21  свае   и более                       1,4 (1,25);
  от   11   до   20  свай                        1,55 (1,4);
   »     6     »    10      »                           1,65 (1,5);
   »     1     »     5       »                           1,75 (1,6).
Для фундаментов из одиночной сваи под колонну при нагрузке на забивную сваю квадратного сечения более 600 кН и набивную сваю более 2500 кН значение коэффициента γk следует принимать равным 1,4, если несущая способность сваи определена по результатам испытаний статической нагрузкой, и 1,6, если несущая способность сваи определена другими способами.
Примечания
1 В скобках даны значения γk в случае, когда несущая способность сваи определена по результатам полевых испытаний статической нагрузкой или расчетом по результатам статического зондирования грунтов.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Гурин В.С.</author>
    <author>pos_gvs</author>
  </authors>
  <commentList>
    <comment ref="C5" authorId="0" shapeId="0" xr:uid="{F832DA05-2E49-4C8B-B672-026A231EFC62}">
      <text>
        <r>
          <rPr>
            <b/>
            <sz val="9"/>
            <color indexed="81"/>
            <rFont val="Tahoma"/>
            <family val="2"/>
            <charset val="204"/>
          </rPr>
          <t>Гурин В.С.:</t>
        </r>
        <r>
          <rPr>
            <sz val="9"/>
            <color indexed="81"/>
            <rFont val="Tahoma"/>
            <family val="2"/>
            <charset val="204"/>
          </rPr>
          <t xml:space="preserve">
При наличии в наименовании слова "плотный", несущая способность увеличивается на 30%, при наличии слова "рыхлый" - уменьшается на 50%.</t>
        </r>
      </text>
    </comment>
    <comment ref="D5" authorId="1" shapeId="0" xr:uid="{6D112F07-773E-4FE1-A1E8-C73823C9BF37}">
      <text>
        <r>
          <rPr>
            <b/>
            <sz val="8"/>
            <color indexed="81"/>
            <rFont val="Tahoma"/>
            <family val="2"/>
            <charset val="204"/>
          </rPr>
          <t>pos_gvs:</t>
        </r>
        <r>
          <rPr>
            <sz val="8"/>
            <color indexed="81"/>
            <rFont val="Tahoma"/>
            <family val="2"/>
            <charset val="204"/>
          </rPr>
          <t xml:space="preserve">
Толщина i-го слоя грунта, соприкасающегося с боковой поверхностью сваи, м</t>
        </r>
      </text>
    </comment>
    <comment ref="F5" authorId="1" shapeId="0" xr:uid="{0D5C102D-049F-439A-A001-30AD6D9F1C75}">
      <text>
        <r>
          <rPr>
            <b/>
            <sz val="8"/>
            <color indexed="81"/>
            <rFont val="Tahoma"/>
            <family val="2"/>
            <charset val="204"/>
          </rPr>
          <t>pos_gvs:</t>
        </r>
        <r>
          <rPr>
            <sz val="8"/>
            <color indexed="81"/>
            <rFont val="Tahoma"/>
            <family val="2"/>
            <charset val="204"/>
          </rPr>
          <t xml:space="preserve">
Смотри таблицы (лист)</t>
        </r>
      </text>
    </comment>
    <comment ref="G5" authorId="1" shapeId="0" xr:uid="{5E32723A-DBFA-4A9F-9063-46AF5F9F44C3}">
      <text>
        <r>
          <rPr>
            <b/>
            <sz val="8"/>
            <color indexed="81"/>
            <rFont val="Tahoma"/>
            <family val="2"/>
            <charset val="204"/>
          </rPr>
          <t>pos_gvs:</t>
        </r>
        <r>
          <rPr>
            <sz val="8"/>
            <color indexed="81"/>
            <rFont val="Tahoma"/>
            <family val="2"/>
            <charset val="204"/>
          </rPr>
          <t xml:space="preserve">
Коэффициент условий работы грунта на боковой поверхности сваи, зависящий от способа образования скважины и условий бетонирования и принимаемый по таблице 7.4 (см. лист "Таблицы")
п. 7.2.20 При определении несущей способности стальной трубчатой сваи с открытым нижним концом коэффициент условий работы грунта под нижним концом грунтовой пробки  принимается равным 0,5, а коэффициент условий работы грунта на боковой поверхности (наружной или внутренней) сваи , учитывающий вид грунта в слоях, принимается равным: 0,52 - для песчаных слоев грунта; 0,43 - для глинистых слоев грунта; 0,47 - для супесчаных слоев грунта.</t>
        </r>
      </text>
    </comment>
    <comment ref="H5" authorId="1" shapeId="0" xr:uid="{42490C85-9AA3-4987-809B-69DC3DD8F587}">
      <text>
        <r>
          <rPr>
            <b/>
            <sz val="8"/>
            <color indexed="81"/>
            <rFont val="Tahoma"/>
            <family val="2"/>
            <charset val="204"/>
          </rPr>
          <t>pos_gvs:</t>
        </r>
        <r>
          <rPr>
            <sz val="8"/>
            <color indexed="81"/>
            <rFont val="Tahoma"/>
            <family val="2"/>
            <charset val="204"/>
          </rPr>
          <t xml:space="preserve">
Расчетное сопротивление слоя грунта на боковой поверхности ствола сваи, кПа, принимаемое по таблице 7.3</t>
        </r>
      </text>
    </comment>
    <comment ref="L6" authorId="1" shapeId="0" xr:uid="{FE8A91D7-EADD-4D36-90C4-B2F30C7322FB}">
      <text>
        <r>
          <rPr>
            <b/>
            <sz val="8"/>
            <color indexed="81"/>
            <rFont val="Tahoma"/>
            <family val="2"/>
            <charset val="204"/>
          </rPr>
          <t>pos_gvs:</t>
        </r>
        <r>
          <rPr>
            <sz val="8"/>
            <color indexed="81"/>
            <rFont val="Tahoma"/>
            <family val="2"/>
            <charset val="204"/>
          </rPr>
          <t xml:space="preserve">
Если его нет, то указать показатель текучести, соответствующий столбику (например, для мелких песков - 0.3), из которого брать значения</t>
        </r>
      </text>
    </comment>
    <comment ref="Z6" authorId="1" shapeId="0" xr:uid="{4CB4E185-4AA3-4D98-9D13-933891197314}">
      <text>
        <r>
          <rPr>
            <b/>
            <sz val="8"/>
            <color indexed="81"/>
            <rFont val="Tahoma"/>
            <family val="2"/>
            <charset val="204"/>
          </rPr>
          <t>pos_gvs:</t>
        </r>
        <r>
          <rPr>
            <sz val="8"/>
            <color indexed="81"/>
            <rFont val="Tahoma"/>
            <family val="2"/>
            <charset val="204"/>
          </rPr>
          <t xml:space="preserve">
Глубина до середины слоя</t>
        </r>
      </text>
    </comment>
    <comment ref="L7" authorId="1" shapeId="0" xr:uid="{0E083533-F589-4166-9B89-AE2E284AAF8E}">
      <text>
        <r>
          <rPr>
            <b/>
            <sz val="8"/>
            <color indexed="81"/>
            <rFont val="Tahoma"/>
            <family val="2"/>
            <charset val="204"/>
          </rPr>
          <t>pos_gvs:</t>
        </r>
        <r>
          <rPr>
            <sz val="8"/>
            <color indexed="81"/>
            <rFont val="Tahoma"/>
            <family val="2"/>
            <charset val="204"/>
          </rPr>
          <t xml:space="preserve">
Если его нет, то указать показатель текучести, соответствующий столбику (например, для мелких песков - 0.3), из которого брать значения</t>
        </r>
      </text>
    </comment>
    <comment ref="Z7" authorId="1" shapeId="0" xr:uid="{5FCC99C8-7734-468C-B174-374C222EC750}">
      <text>
        <r>
          <rPr>
            <b/>
            <sz val="8"/>
            <color indexed="81"/>
            <rFont val="Tahoma"/>
            <family val="2"/>
            <charset val="204"/>
          </rPr>
          <t>pos_gvs:</t>
        </r>
        <r>
          <rPr>
            <sz val="8"/>
            <color indexed="81"/>
            <rFont val="Tahoma"/>
            <family val="2"/>
            <charset val="204"/>
          </rPr>
          <t xml:space="preserve">
Глубина до середины слоя</t>
        </r>
      </text>
    </comment>
    <comment ref="E14" authorId="0" shapeId="0" xr:uid="{042BDFCC-BEC6-4250-8EC2-205453DE634E}">
      <text>
        <r>
          <rPr>
            <b/>
            <sz val="9"/>
            <color indexed="81"/>
            <rFont val="Tahoma"/>
            <family val="2"/>
            <charset val="204"/>
          </rPr>
          <t>Гурин В.С.:</t>
        </r>
        <r>
          <rPr>
            <sz val="9"/>
            <color indexed="81"/>
            <rFont val="Tahoma"/>
            <family val="2"/>
            <charset val="204"/>
          </rPr>
          <t xml:space="preserve">
Примечание к таблице 7.2:
4 Для плотных песков, плотность которых определена по данным статического зондирования, значения R по таблице 7.2 для свай, погруженных без использования подмыва или лидерных скважин, следует увеличить на 100% - для песков крупных и средней крупности и на 130% - для песков мелких и пылеватых. При определении плотности грунта по данным других видов инженерных изысканий и отсутствии данных статического зондирования для плотных песков значения R по таблице 7.2 следует увеличить на 60% - для песков крупных и средней крупности и на 75% - для песков мелких и пылеватых, но не более чем до 20000 кПа.</t>
        </r>
      </text>
    </comment>
    <comment ref="E15" authorId="0" shapeId="0" xr:uid="{7D861798-9028-479D-9985-046F6EE77B06}">
      <text>
        <r>
          <rPr>
            <b/>
            <sz val="9"/>
            <color indexed="81"/>
            <rFont val="Tahoma"/>
            <family val="2"/>
            <charset val="204"/>
          </rPr>
          <t>Для опор мостов - от дна водоема после его общего размыва при расчетном паводке</t>
        </r>
      </text>
    </comment>
    <comment ref="L15" authorId="1" shapeId="0" xr:uid="{D512ADD2-3D81-41FA-B89A-186BE072BB9D}">
      <text>
        <r>
          <rPr>
            <b/>
            <sz val="8"/>
            <color indexed="81"/>
            <rFont val="Tahoma"/>
            <family val="2"/>
            <charset val="204"/>
          </rPr>
          <t>pos_gvs:</t>
        </r>
        <r>
          <rPr>
            <sz val="8"/>
            <color indexed="81"/>
            <rFont val="Tahoma"/>
            <family val="2"/>
            <charset val="204"/>
          </rPr>
          <t xml:space="preserve">
Если его нет, то указать показатель текучести, соответствующий столбику (например, для мелких песков - 0.3), из которого брать значения</t>
        </r>
      </text>
    </comment>
    <comment ref="K18" authorId="1" shapeId="0" xr:uid="{63148EBD-2688-4FE4-A804-856F05756F3F}">
      <text>
        <r>
          <rPr>
            <b/>
            <sz val="8"/>
            <color indexed="81"/>
            <rFont val="Tahoma"/>
            <family val="2"/>
            <charset val="204"/>
          </rPr>
          <t>pos_gvs:</t>
        </r>
        <r>
          <rPr>
            <sz val="8"/>
            <color indexed="81"/>
            <rFont val="Tahoma"/>
            <family val="2"/>
            <charset val="204"/>
          </rPr>
          <t xml:space="preserve">
Глубина до середины слоя</t>
        </r>
      </text>
    </comment>
    <comment ref="E23" authorId="0" shapeId="0" xr:uid="{D8B2345F-8E2D-4971-AF9E-C603AA0E3D0A}">
      <text>
        <r>
          <rPr>
            <b/>
            <sz val="9"/>
            <color indexed="81"/>
            <rFont val="Tahoma"/>
            <family val="2"/>
            <charset val="204"/>
          </rPr>
          <t>Принимаемая по площади поперечного сечения сваи брутто или по площади поперечного сечения камуфлетного уширения по его наибольшему диаметру, или по площади сваи-оболочки нетто</t>
        </r>
      </text>
    </comment>
    <comment ref="E25" authorId="0" shapeId="0" xr:uid="{D53611C8-E44A-41FF-89E0-40FEB7B7A5DF}">
      <text>
        <r>
          <rPr>
            <b/>
            <sz val="9"/>
            <color indexed="81"/>
            <rFont val="Tahoma"/>
            <family val="2"/>
            <charset val="204"/>
          </rPr>
          <t>Гурин В.С.:
γk - коэффициент надежности по грунту, принимаемый равным:
1,2 - если несущая способность сваи определена по результатам полевых испытаний статической нагрузкой;
1,25 - если несущая способность сваи определена расчетом по результатам статического зондирования грунта или по результатам динамических испытаний сваи, выполненных с учетом упругих деформаций грунта, а также по результатам полевых испытаний грунтов эталонной сваей или сваей-зондом;
1,4 - если несущая способность сваи определена расчетом, в том числе по результатам динамических испытаний свай, выполненных без учета упругих деформаций грунта;
1,4 (1,25) - для фундаментов опор мостов при низком ростверке, на висячих сваях (сваях трения) и сваях-стойках, а при высоком ростверке - только при сваях-стойках, воспринимающих сжимающую нагрузку независимо от числа свай в фундаменте.
Для фундаментов опор мостов и для гидротехнических сооружений при высоком или низком ростверке, подошва которого опирается на сильносжимаемый грунт, и висячих сваях, воспринимающих сжимающую нагрузку, а также для любых сооружений при любом виде ростверка и висячих сваях и сваях-стойках, воспринимающих выдергивающую нагрузку, γk принимают в зависимости от числа свай в фундаменте:
При  21  свае   и более                       1,4 (1,25);
  от   11   до   20  свай                        1,55 (1,4);
   »     6     »    10      »                           1,65 (1,5);
   »     1     »     5       »                           1,75 (1,6).
Для фундаментов из одиночной сваи под колонну при нагрузке на забивную сваю квадратного сечения более 600 кН и набивную сваю более 2500 кН значение коэффициента γk следует принимать равным 1,4, если несущая способность сваи определена по результатам испытаний статической нагрузкой, и 1,6, если несущая способность сваи определена другими способами.
Примечания
1 В скобках даны значения γk в случае, когда несущая способность сваи определена по результатам полевых испытаний статической нагрузкой или расчетом по результатам статического зондирования грунтов.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pos_gvs</author>
  </authors>
  <commentList>
    <comment ref="M23" authorId="0" shapeId="0" xr:uid="{00000000-0006-0000-0100-000001000000}">
      <text>
        <r>
          <rPr>
            <b/>
            <sz val="8"/>
            <color indexed="81"/>
            <rFont val="Tahoma"/>
            <family val="2"/>
            <charset val="204"/>
          </rPr>
          <t>pos_gvs:</t>
        </r>
        <r>
          <rPr>
            <sz val="8"/>
            <color indexed="81"/>
            <rFont val="Tahoma"/>
            <family val="2"/>
            <charset val="204"/>
          </rPr>
          <t xml:space="preserve">
Если его нет, то указать показатель текучести, соответствующий столбику (например, для мелких песков - 0.3), из которого брать значения</t>
        </r>
      </text>
    </comment>
    <comment ref="L26" authorId="0" shapeId="0" xr:uid="{00000000-0006-0000-0100-000002000000}">
      <text>
        <r>
          <rPr>
            <b/>
            <sz val="8"/>
            <color indexed="81"/>
            <rFont val="Tahoma"/>
            <family val="2"/>
            <charset val="204"/>
          </rPr>
          <t>pos_gvs:</t>
        </r>
        <r>
          <rPr>
            <sz val="8"/>
            <color indexed="81"/>
            <rFont val="Tahoma"/>
            <family val="2"/>
            <charset val="204"/>
          </rPr>
          <t xml:space="preserve">
Глубина до середины слоя</t>
        </r>
      </text>
    </comment>
    <comment ref="C31" authorId="0" shapeId="0" xr:uid="{00000000-0006-0000-0100-000003000000}">
      <text>
        <r>
          <rPr>
            <b/>
            <sz val="8"/>
            <color indexed="81"/>
            <rFont val="Tahoma"/>
            <family val="2"/>
            <charset val="204"/>
          </rPr>
          <t>pos_gvs:</t>
        </r>
        <r>
          <rPr>
            <sz val="8"/>
            <color indexed="81"/>
            <rFont val="Tahoma"/>
            <family val="2"/>
            <charset val="204"/>
          </rPr>
          <t xml:space="preserve">
Если его нет, то указать показатель текучести, соответствующий столбику (например, для мелких песков - 0.3), из которого брать значения</t>
        </r>
      </text>
    </comment>
    <comment ref="B34" authorId="0" shapeId="0" xr:uid="{00000000-0006-0000-0100-000004000000}">
      <text>
        <r>
          <rPr>
            <b/>
            <sz val="8"/>
            <color indexed="81"/>
            <rFont val="Tahoma"/>
            <family val="2"/>
            <charset val="204"/>
          </rPr>
          <t>pos_gvs:</t>
        </r>
        <r>
          <rPr>
            <sz val="8"/>
            <color indexed="81"/>
            <rFont val="Tahoma"/>
            <family val="2"/>
            <charset val="204"/>
          </rPr>
          <t xml:space="preserve">
Глубина до середины слоя</t>
        </r>
      </text>
    </comment>
  </commentList>
</comments>
</file>

<file path=xl/sharedStrings.xml><?xml version="1.0" encoding="utf-8"?>
<sst xmlns="http://schemas.openxmlformats.org/spreadsheetml/2006/main" count="329" uniqueCount="166">
  <si>
    <r>
      <t>F</t>
    </r>
    <r>
      <rPr>
        <vertAlign val="subscript"/>
        <sz val="11"/>
        <color indexed="8"/>
        <rFont val="Calibri"/>
        <family val="2"/>
        <charset val="204"/>
      </rPr>
      <t>d</t>
    </r>
  </si>
  <si>
    <r>
      <t>Υ</t>
    </r>
    <r>
      <rPr>
        <vertAlign val="subscript"/>
        <sz val="11"/>
        <color indexed="8"/>
        <rFont val="Calibri"/>
        <family val="2"/>
        <charset val="204"/>
      </rPr>
      <t>c</t>
    </r>
  </si>
  <si>
    <t>R</t>
  </si>
  <si>
    <t>кПа</t>
  </si>
  <si>
    <t>Коэффициент условий работы грунта под нижним концом сваи</t>
  </si>
  <si>
    <t>h</t>
  </si>
  <si>
    <t>d</t>
  </si>
  <si>
    <t>м</t>
  </si>
  <si>
    <t>А</t>
  </si>
  <si>
    <t>Периметр поперечного сечения ствола сваи, м</t>
  </si>
  <si>
    <t>u</t>
  </si>
  <si>
    <t>Диаметр сваи</t>
  </si>
  <si>
    <t>т</t>
  </si>
  <si>
    <t>Вес сваи (+3.5м)</t>
  </si>
  <si>
    <t>кг</t>
  </si>
  <si>
    <t>Глубина погружения нижнего конца сваи, м</t>
  </si>
  <si>
    <r>
      <t xml:space="preserve">Расчетные сопротивления под нижним концом забивных и вдавливаемых свай и свай-оболочек, погружаемых без выемки грунта, </t>
    </r>
    <r>
      <rPr>
        <i/>
        <sz val="10"/>
        <color indexed="8"/>
        <rFont val="Times New Roman"/>
        <family val="1"/>
        <charset val="204"/>
      </rPr>
      <t>R</t>
    </r>
    <r>
      <rPr>
        <sz val="10"/>
        <color indexed="8"/>
        <rFont val="Times New Roman"/>
        <family val="1"/>
        <charset val="204"/>
      </rPr>
      <t>, кПа</t>
    </r>
  </si>
  <si>
    <t>песков средней плотности</t>
  </si>
  <si>
    <t>гравелистых</t>
  </si>
  <si>
    <t>крупных</t>
  </si>
  <si>
    <t>-</t>
  </si>
  <si>
    <t>средней крупности</t>
  </si>
  <si>
    <t>мелких</t>
  </si>
  <si>
    <t>пылеватых</t>
  </si>
  <si>
    <r>
      <t xml:space="preserve">глинистых грунтов при показателе текучести </t>
    </r>
    <r>
      <rPr>
        <i/>
        <sz val="10"/>
        <color indexed="8"/>
        <rFont val="Times New Roman"/>
        <family val="1"/>
        <charset val="204"/>
      </rPr>
      <t>I</t>
    </r>
    <r>
      <rPr>
        <i/>
        <vertAlign val="subscript"/>
        <sz val="10"/>
        <color indexed="8"/>
        <rFont val="Times New Roman"/>
        <family val="1"/>
        <charset val="204"/>
      </rPr>
      <t>L</t>
    </r>
    <r>
      <rPr>
        <sz val="10"/>
        <color indexed="8"/>
        <rFont val="Times New Roman"/>
        <family val="1"/>
        <charset val="204"/>
      </rPr>
      <t>, равном</t>
    </r>
  </si>
  <si>
    <t>Таблица 7.2</t>
  </si>
  <si>
    <t>Глубина</t>
  </si>
  <si>
    <t>Таблица 7.3</t>
  </si>
  <si>
    <t>Средняя глубина расположения слоя грунта, м</t>
  </si>
  <si>
    <r>
      <t xml:space="preserve">Расчетные сопротивления на боковой поверхности забивных и вдавливаемых свай и свай-оболочек </t>
    </r>
    <r>
      <rPr>
        <i/>
        <sz val="10"/>
        <color indexed="8"/>
        <rFont val="Times New Roman"/>
        <family val="1"/>
        <charset val="204"/>
      </rPr>
      <t>f</t>
    </r>
    <r>
      <rPr>
        <i/>
        <vertAlign val="subscript"/>
        <sz val="10"/>
        <color indexed="8"/>
        <rFont val="Times New Roman"/>
        <family val="1"/>
        <charset val="204"/>
      </rPr>
      <t>i</t>
    </r>
    <r>
      <rPr>
        <sz val="10"/>
        <color indexed="8"/>
        <rFont val="Times New Roman"/>
        <family val="1"/>
        <charset val="204"/>
      </rPr>
      <t>, кПа</t>
    </r>
  </si>
  <si>
    <t>крупных и средней крупности</t>
  </si>
  <si>
    <t>Показатель текучести</t>
  </si>
  <si>
    <t>Интерполяция</t>
  </si>
  <si>
    <t>Заполняем</t>
  </si>
  <si>
    <t>Не трогаем</t>
  </si>
  <si>
    <t>Результат</t>
  </si>
  <si>
    <t>Номер столбца -</t>
  </si>
  <si>
    <t>Толщина стенки сваи</t>
  </si>
  <si>
    <t>t</t>
  </si>
  <si>
    <t>мм</t>
  </si>
  <si>
    <r>
      <t>Υ</t>
    </r>
    <r>
      <rPr>
        <vertAlign val="subscript"/>
        <sz val="11"/>
        <color indexed="8"/>
        <rFont val="Calibri"/>
        <family val="2"/>
        <charset val="204"/>
      </rPr>
      <t>k</t>
    </r>
  </si>
  <si>
    <t>Заделка нижнего конца</t>
  </si>
  <si>
    <r>
      <t>h</t>
    </r>
    <r>
      <rPr>
        <vertAlign val="subscript"/>
        <sz val="11"/>
        <rFont val="Calibri"/>
        <family val="2"/>
        <charset val="204"/>
      </rPr>
      <t xml:space="preserve">i1
</t>
    </r>
    <r>
      <rPr>
        <sz val="11"/>
        <rFont val="Calibri"/>
        <family val="2"/>
        <charset val="204"/>
      </rPr>
      <t>м</t>
    </r>
  </si>
  <si>
    <t>Глубина до середины слоя, м</t>
  </si>
  <si>
    <r>
      <t>f</t>
    </r>
    <r>
      <rPr>
        <i/>
        <vertAlign val="subscript"/>
        <sz val="12"/>
        <rFont val="Times New Roman"/>
        <family val="1"/>
        <charset val="204"/>
      </rPr>
      <t>i1</t>
    </r>
    <r>
      <rPr>
        <i/>
        <sz val="12"/>
        <rFont val="Times New Roman"/>
        <family val="1"/>
        <charset val="204"/>
      </rPr>
      <t xml:space="preserve">
</t>
    </r>
    <r>
      <rPr>
        <sz val="11"/>
        <rFont val="Calibri"/>
        <family val="2"/>
        <charset val="204"/>
      </rPr>
      <t>кПа</t>
    </r>
  </si>
  <si>
    <t>Наименование грунта</t>
  </si>
  <si>
    <t>№ слоя</t>
  </si>
  <si>
    <t>Без учёта веса сваи</t>
  </si>
  <si>
    <r>
      <t>За вычетом веса сваи и с учётом Υ</t>
    </r>
    <r>
      <rPr>
        <vertAlign val="subscript"/>
        <sz val="11"/>
        <color indexed="8"/>
        <rFont val="Calibri"/>
        <family val="2"/>
        <charset val="204"/>
      </rPr>
      <t>k</t>
    </r>
  </si>
  <si>
    <t>Коэффициент надежности по грунту</t>
  </si>
  <si>
    <t>Показатель текучести грунта под нижним концом сваи</t>
  </si>
  <si>
    <t>Способы погружения забивных и вдавливаемых свай и свай-оболочек, погружаемых без выемки грунта, и виды грунтов</t>
  </si>
  <si>
    <t>Коэффициенты условий работы грунта при расчете несущей способности свай</t>
  </si>
  <si>
    <r>
      <t xml:space="preserve">под нижним концом </t>
    </r>
    <r>
      <rPr>
        <i/>
        <sz val="10"/>
        <color theme="1"/>
        <rFont val="Times New Roman"/>
        <family val="1"/>
        <charset val="204"/>
      </rPr>
      <t>γ</t>
    </r>
    <r>
      <rPr>
        <i/>
        <vertAlign val="subscript"/>
        <sz val="10"/>
        <color theme="1"/>
        <rFont val="Times New Roman"/>
        <family val="1"/>
        <charset val="204"/>
      </rPr>
      <t>cR</t>
    </r>
  </si>
  <si>
    <r>
      <t xml:space="preserve">на боковой поверхности </t>
    </r>
    <r>
      <rPr>
        <i/>
        <sz val="10"/>
        <color theme="1"/>
        <rFont val="Times New Roman"/>
        <family val="1"/>
        <charset val="204"/>
      </rPr>
      <t>γ</t>
    </r>
    <r>
      <rPr>
        <i/>
        <vertAlign val="subscript"/>
        <sz val="10"/>
        <color theme="1"/>
        <rFont val="Times New Roman"/>
        <family val="1"/>
        <charset val="204"/>
      </rPr>
      <t>cf</t>
    </r>
  </si>
  <si>
    <t>1 Погружение сплошных и полых с закрытым нижним концом свай механическими (подвесными), паровоздушными и дизельными молотами</t>
  </si>
  <si>
    <t>1,0</t>
  </si>
  <si>
    <t>2 Погружение забивкой и вдавливанием в предварительно пробуренные лидерные скважины с заглублением концов свай не менее 1 м ниже забоя скважины при ее диаметре:</t>
  </si>
  <si>
    <t>а) равном стороне квадратной сваи</t>
  </si>
  <si>
    <t>0,5</t>
  </si>
  <si>
    <t>б) на 0,05 м менее стороны квадратной сваи</t>
  </si>
  <si>
    <t>0,6</t>
  </si>
  <si>
    <t>в) на 0,15 м менее стороны квадратной или диаметра сваи круглого сечения (для опор линий электропередачи)</t>
  </si>
  <si>
    <t>3 Погружение с подмывом в песчаные грунты при условии добивки свай на последнем этапе погружения без применения подмыва на 1 м и более</t>
  </si>
  <si>
    <t>0,9</t>
  </si>
  <si>
    <t>4 Вибропогружение свай-оболочек, вибропогружение и вибровдавливание свай в грунты:</t>
  </si>
  <si>
    <t>а) пески средней плотности:</t>
  </si>
  <si>
    <t>крупные и средней крупности</t>
  </si>
  <si>
    <t>1,2</t>
  </si>
  <si>
    <t>мелкие</t>
  </si>
  <si>
    <t>1,1</t>
  </si>
  <si>
    <t>пылеватые</t>
  </si>
  <si>
    <r>
      <t xml:space="preserve">б) глинистые с показателем текучести </t>
    </r>
    <r>
      <rPr>
        <i/>
        <sz val="10"/>
        <color theme="1"/>
        <rFont val="Times New Roman"/>
        <family val="1"/>
        <charset val="204"/>
      </rPr>
      <t>I</t>
    </r>
    <r>
      <rPr>
        <i/>
        <vertAlign val="subscript"/>
        <sz val="10"/>
        <color theme="1"/>
        <rFont val="Times New Roman"/>
        <family val="1"/>
        <charset val="204"/>
      </rPr>
      <t>L</t>
    </r>
    <r>
      <rPr>
        <sz val="10"/>
        <color theme="1"/>
        <rFont val="Times New Roman"/>
        <family val="1"/>
        <charset val="204"/>
      </rPr>
      <t xml:space="preserve"> = 0,5:</t>
    </r>
  </si>
  <si>
    <t>супеси</t>
  </si>
  <si>
    <t>суглинки</t>
  </si>
  <si>
    <t>0,8</t>
  </si>
  <si>
    <t>глины</t>
  </si>
  <si>
    <t>0,7</t>
  </si>
  <si>
    <r>
      <t xml:space="preserve">в) глинистые с показателем текучести </t>
    </r>
    <r>
      <rPr>
        <i/>
        <sz val="10"/>
        <color theme="1"/>
        <rFont val="Times New Roman"/>
        <family val="1"/>
        <charset val="204"/>
      </rPr>
      <t>I</t>
    </r>
    <r>
      <rPr>
        <i/>
        <vertAlign val="subscript"/>
        <sz val="10"/>
        <color theme="1"/>
        <rFont val="Times New Roman"/>
        <family val="1"/>
        <charset val="204"/>
      </rPr>
      <t>L</t>
    </r>
    <r>
      <rPr>
        <sz val="10"/>
        <color theme="1"/>
        <rFont val="Times New Roman"/>
        <family val="1"/>
        <charset val="204"/>
      </rPr>
      <t xml:space="preserve"> &lt; 0</t>
    </r>
  </si>
  <si>
    <t>5 Погружение молотами полых железобетонных свай с открытым нижним концом:</t>
  </si>
  <si>
    <t>а) при диаметре полости сваи менее 0,4 м</t>
  </si>
  <si>
    <t>б) то же, от 0,4 до 0,8 м</t>
  </si>
  <si>
    <r>
      <t xml:space="preserve">6 Погружение любым способом полых свай круглого сечения с закрытым нижним концом на глубину 10 м и более с последующим устройством в нижнем конце свай камуфлетного уширения в песчаных грунтах средней плотности и в глинистых грунтах с показателем текучести </t>
    </r>
    <r>
      <rPr>
        <i/>
        <sz val="10"/>
        <color theme="1"/>
        <rFont val="Times New Roman"/>
        <family val="1"/>
        <charset val="204"/>
      </rPr>
      <t>I</t>
    </r>
    <r>
      <rPr>
        <i/>
        <vertAlign val="subscript"/>
        <sz val="10"/>
        <color theme="1"/>
        <rFont val="Times New Roman"/>
        <family val="1"/>
        <charset val="204"/>
      </rPr>
      <t>L</t>
    </r>
    <r>
      <rPr>
        <sz val="10"/>
        <color theme="1"/>
        <rFont val="Times New Roman"/>
        <family val="1"/>
        <charset val="204"/>
      </rPr>
      <t xml:space="preserve"> &lt; 0,5 при диаметре уширения, равном:</t>
    </r>
  </si>
  <si>
    <t>а) 1,0 м независимо от указанных видов грунта</t>
  </si>
  <si>
    <t>б) 1,5 м в песках и супесях</t>
  </si>
  <si>
    <t>в) 1,5 м в суглинках и глинах</t>
  </si>
  <si>
    <t>7 Погружение вдавливанием свай:</t>
  </si>
  <si>
    <t>а) в пески крупные, средней крупности и мелкие</t>
  </si>
  <si>
    <t>б) в пески пылеватые</t>
  </si>
  <si>
    <r>
      <t xml:space="preserve">в) в глинистые грунты с показателем текучести </t>
    </r>
    <r>
      <rPr>
        <i/>
        <sz val="10"/>
        <color theme="1"/>
        <rFont val="Times New Roman"/>
        <family val="1"/>
        <charset val="204"/>
      </rPr>
      <t>I</t>
    </r>
    <r>
      <rPr>
        <i/>
        <vertAlign val="subscript"/>
        <sz val="10"/>
        <color theme="1"/>
        <rFont val="Times New Roman"/>
        <family val="1"/>
        <charset val="204"/>
      </rPr>
      <t>L</t>
    </r>
    <r>
      <rPr>
        <sz val="10"/>
        <color theme="1"/>
        <rFont val="Times New Roman"/>
        <family val="1"/>
        <charset val="204"/>
      </rPr>
      <t xml:space="preserve"> &lt; 0,5</t>
    </r>
  </si>
  <si>
    <r>
      <t xml:space="preserve">г) то же, </t>
    </r>
    <r>
      <rPr>
        <i/>
        <sz val="10"/>
        <color theme="1"/>
        <rFont val="Times New Roman"/>
        <family val="1"/>
        <charset val="204"/>
      </rPr>
      <t>I</t>
    </r>
    <r>
      <rPr>
        <i/>
        <vertAlign val="subscript"/>
        <sz val="10"/>
        <color theme="1"/>
        <rFont val="Times New Roman"/>
        <family val="1"/>
        <charset val="204"/>
      </rPr>
      <t>L</t>
    </r>
    <r>
      <rPr>
        <sz val="10"/>
        <color theme="1"/>
        <rFont val="Times New Roman"/>
        <family val="1"/>
        <charset val="204"/>
      </rPr>
      <t xml:space="preserve"> &gt; 0,5</t>
    </r>
  </si>
  <si>
    <r>
      <t xml:space="preserve">Примечание - Коэффициенты </t>
    </r>
    <r>
      <rPr>
        <i/>
        <sz val="10"/>
        <color theme="1"/>
        <rFont val="Times New Roman"/>
        <family val="1"/>
        <charset val="204"/>
      </rPr>
      <t>γ</t>
    </r>
    <r>
      <rPr>
        <i/>
        <vertAlign val="subscript"/>
        <sz val="10"/>
        <color theme="1"/>
        <rFont val="Times New Roman"/>
        <family val="1"/>
        <charset val="204"/>
      </rPr>
      <t>сR</t>
    </r>
    <r>
      <rPr>
        <sz val="10"/>
        <color theme="1"/>
        <rFont val="Times New Roman"/>
        <family val="1"/>
        <charset val="204"/>
      </rPr>
      <t xml:space="preserve"> и </t>
    </r>
    <r>
      <rPr>
        <i/>
        <sz val="10"/>
        <color theme="1"/>
        <rFont val="Times New Roman"/>
        <family val="1"/>
        <charset val="204"/>
      </rPr>
      <t>γ</t>
    </r>
    <r>
      <rPr>
        <i/>
        <vertAlign val="subscript"/>
        <sz val="10"/>
        <color theme="1"/>
        <rFont val="Times New Roman"/>
        <family val="1"/>
        <charset val="204"/>
      </rPr>
      <t>c</t>
    </r>
    <r>
      <rPr>
        <vertAlign val="subscript"/>
        <sz val="10"/>
        <color theme="1"/>
        <rFont val="Times New Roman"/>
        <family val="1"/>
        <charset val="204"/>
      </rPr>
      <t>f</t>
    </r>
    <r>
      <rPr>
        <sz val="10"/>
        <color theme="1"/>
        <rFont val="Times New Roman"/>
        <family val="1"/>
        <charset val="204"/>
      </rPr>
      <t xml:space="preserve"> по поз. 4 для глинистых грунтов с показателем текучести 0,5 &gt; </t>
    </r>
    <r>
      <rPr>
        <i/>
        <sz val="10"/>
        <color theme="1"/>
        <rFont val="Times New Roman"/>
        <family val="1"/>
        <charset val="204"/>
      </rPr>
      <t>I</t>
    </r>
    <r>
      <rPr>
        <i/>
        <vertAlign val="subscript"/>
        <sz val="10"/>
        <color theme="1"/>
        <rFont val="Times New Roman"/>
        <family val="1"/>
        <charset val="204"/>
      </rPr>
      <t>L</t>
    </r>
    <r>
      <rPr>
        <sz val="10"/>
        <color theme="1"/>
        <rFont val="Times New Roman"/>
        <family val="1"/>
        <charset val="204"/>
      </rPr>
      <t xml:space="preserve"> &gt; 0 определяют интерполяцией.</t>
    </r>
  </si>
  <si>
    <t>Таблица 7.4</t>
  </si>
  <si>
    <t>С учетом веса сваи и с учётом Υk</t>
  </si>
  <si>
    <r>
      <t xml:space="preserve">Несущая способность одиночной сваи-оболочки, работающией на </t>
    </r>
    <r>
      <rPr>
        <b/>
        <sz val="12"/>
        <color rgb="FFC00000"/>
        <rFont val="Calibri"/>
        <family val="2"/>
        <charset val="204"/>
        <scheme val="minor"/>
      </rPr>
      <t>выдергивающую</t>
    </r>
    <r>
      <rPr>
        <sz val="11"/>
        <color theme="1"/>
        <rFont val="Calibri"/>
        <family val="2"/>
        <charset val="204"/>
        <scheme val="minor"/>
      </rPr>
      <t xml:space="preserve"> нагрузку</t>
    </r>
  </si>
  <si>
    <r>
      <t xml:space="preserve">Несущая способность одиночной сваи-оболочки, работающией на </t>
    </r>
    <r>
      <rPr>
        <b/>
        <sz val="12"/>
        <color rgb="FFC00000"/>
        <rFont val="Calibri"/>
        <family val="2"/>
        <charset val="204"/>
        <scheme val="minor"/>
      </rPr>
      <t>сжимающую</t>
    </r>
    <r>
      <rPr>
        <sz val="11"/>
        <color theme="1"/>
        <rFont val="Calibri"/>
        <family val="2"/>
        <charset val="204"/>
        <scheme val="minor"/>
      </rPr>
      <t xml:space="preserve"> нагрузку</t>
    </r>
  </si>
  <si>
    <t>Несущая способность сваи-оболочки, работающией на сжимающую нагрузку по старым нормам (по фактической площади опирания и ТОЛЬКО внешней боковой поверхности)</t>
  </si>
  <si>
    <r>
      <t>Υ</t>
    </r>
    <r>
      <rPr>
        <vertAlign val="subscript"/>
        <sz val="11"/>
        <rFont val="Calibri"/>
        <family val="2"/>
        <charset val="204"/>
      </rPr>
      <t>R,f</t>
    </r>
  </si>
  <si>
    <r>
      <t>Υ</t>
    </r>
    <r>
      <rPr>
        <vertAlign val="subscript"/>
        <sz val="11"/>
        <color indexed="8"/>
        <rFont val="Calibri"/>
        <family val="2"/>
        <charset val="204"/>
      </rPr>
      <t>R,R</t>
    </r>
  </si>
  <si>
    <t>Коэффициент условий работы сваи на сжатие</t>
  </si>
  <si>
    <t>Коэффициент условий работы сваи на выдёргивание</t>
  </si>
  <si>
    <r>
      <t>h</t>
    </r>
    <r>
      <rPr>
        <vertAlign val="subscript"/>
        <sz val="11"/>
        <rFont val="Calibri"/>
        <family val="2"/>
        <charset val="204"/>
      </rPr>
      <t>i</t>
    </r>
    <r>
      <rPr>
        <sz val="11"/>
        <rFont val="Calibri"/>
        <family val="2"/>
        <charset val="204"/>
      </rPr>
      <t>*Υ</t>
    </r>
    <r>
      <rPr>
        <vertAlign val="subscript"/>
        <sz val="11"/>
        <rFont val="Calibri"/>
        <family val="2"/>
        <charset val="204"/>
      </rPr>
      <t>R,f</t>
    </r>
    <r>
      <rPr>
        <sz val="11"/>
        <rFont val="Calibri"/>
        <family val="2"/>
        <charset val="204"/>
      </rPr>
      <t>*f</t>
    </r>
    <r>
      <rPr>
        <vertAlign val="subscript"/>
        <sz val="11"/>
        <rFont val="Calibri"/>
        <family val="2"/>
        <charset val="204"/>
      </rPr>
      <t>i</t>
    </r>
  </si>
  <si>
    <r>
      <t>F</t>
    </r>
    <r>
      <rPr>
        <vertAlign val="subscript"/>
        <sz val="11"/>
        <color indexed="8"/>
        <rFont val="Calibri"/>
        <family val="2"/>
        <charset val="204"/>
      </rPr>
      <t>d</t>
    </r>
    <r>
      <rPr>
        <sz val="11"/>
        <color theme="1"/>
        <rFont val="Calibri"/>
        <family val="2"/>
        <charset val="204"/>
        <scheme val="minor"/>
      </rPr>
      <t>=</t>
    </r>
    <r>
      <rPr>
        <sz val="11"/>
        <color indexed="8"/>
        <rFont val="Calibri"/>
        <family val="2"/>
        <charset val="204"/>
      </rPr>
      <t>Υ</t>
    </r>
    <r>
      <rPr>
        <vertAlign val="subscript"/>
        <sz val="11"/>
        <color indexed="8"/>
        <rFont val="Calibri"/>
        <family val="2"/>
        <charset val="204"/>
      </rPr>
      <t>c</t>
    </r>
    <r>
      <rPr>
        <sz val="11"/>
        <color rgb="FF000000"/>
        <rFont val="Calibri"/>
        <family val="2"/>
        <charset val="204"/>
      </rPr>
      <t>·</t>
    </r>
    <r>
      <rPr>
        <sz val="11"/>
        <color indexed="8"/>
        <rFont val="Calibri"/>
        <family val="2"/>
        <charset val="204"/>
      </rPr>
      <t>(Υ</t>
    </r>
    <r>
      <rPr>
        <vertAlign val="subscript"/>
        <sz val="11"/>
        <color indexed="8"/>
        <rFont val="Calibri"/>
        <family val="2"/>
        <charset val="204"/>
      </rPr>
      <t>R,R</t>
    </r>
    <r>
      <rPr>
        <sz val="11"/>
        <color rgb="FF000000"/>
        <rFont val="Calibri"/>
        <family val="2"/>
        <charset val="204"/>
      </rPr>
      <t>·</t>
    </r>
    <r>
      <rPr>
        <sz val="11"/>
        <color indexed="8"/>
        <rFont val="Calibri"/>
        <family val="2"/>
        <charset val="204"/>
      </rPr>
      <t>R·A+u·ΣΥ</t>
    </r>
    <r>
      <rPr>
        <vertAlign val="subscript"/>
        <sz val="11"/>
        <color rgb="FF000000"/>
        <rFont val="Calibri"/>
        <family val="2"/>
        <charset val="204"/>
      </rPr>
      <t>R,f</t>
    </r>
    <r>
      <rPr>
        <sz val="11"/>
        <color rgb="FF000000"/>
        <rFont val="Calibri"/>
        <family val="2"/>
        <charset val="204"/>
      </rPr>
      <t>·</t>
    </r>
    <r>
      <rPr>
        <sz val="11"/>
        <color indexed="8"/>
        <rFont val="Calibri"/>
        <family val="2"/>
        <charset val="204"/>
      </rPr>
      <t>f</t>
    </r>
    <r>
      <rPr>
        <vertAlign val="subscript"/>
        <sz val="11"/>
        <color indexed="8"/>
        <rFont val="Calibri"/>
        <family val="2"/>
        <charset val="204"/>
      </rPr>
      <t>i</t>
    </r>
    <r>
      <rPr>
        <sz val="11"/>
        <color rgb="FF000000"/>
        <rFont val="Calibri"/>
        <family val="2"/>
        <charset val="204"/>
      </rPr>
      <t>·</t>
    </r>
    <r>
      <rPr>
        <sz val="11"/>
        <color indexed="8"/>
        <rFont val="Calibri"/>
        <family val="2"/>
        <charset val="204"/>
      </rPr>
      <t>h</t>
    </r>
    <r>
      <rPr>
        <vertAlign val="subscript"/>
        <sz val="11"/>
        <color indexed="8"/>
        <rFont val="Calibri"/>
        <family val="2"/>
        <charset val="204"/>
      </rPr>
      <t>i</t>
    </r>
    <r>
      <rPr>
        <sz val="11"/>
        <color indexed="8"/>
        <rFont val="Calibri"/>
        <family val="2"/>
        <charset val="204"/>
      </rPr>
      <t>)</t>
    </r>
  </si>
  <si>
    <t>Возвышение головы сваи над поверхностью площадки</t>
  </si>
  <si>
    <t>Опора 1</t>
  </si>
  <si>
    <t>Опора 2</t>
  </si>
  <si>
    <t>Опора 3</t>
  </si>
  <si>
    <t>Опора 4</t>
  </si>
  <si>
    <t>Опора 5</t>
  </si>
  <si>
    <t>Опора 6</t>
  </si>
  <si>
    <t>Опора 7</t>
  </si>
  <si>
    <t>Опора 8</t>
  </si>
  <si>
    <t>Диаметр трубы сваи, м</t>
  </si>
  <si>
    <t>Толщина стенки трубы сваи, мм</t>
  </si>
  <si>
    <t>Общая длина сваи</t>
  </si>
  <si>
    <r>
      <t>L</t>
    </r>
    <r>
      <rPr>
        <vertAlign val="subscript"/>
        <sz val="11"/>
        <rFont val="Calibri"/>
        <family val="2"/>
        <charset val="204"/>
      </rPr>
      <t>г.св.</t>
    </r>
  </si>
  <si>
    <t>Статика - Глинистый</t>
  </si>
  <si>
    <t>Статика - Песок рыхлый/средней плотности</t>
  </si>
  <si>
    <t>Статика - Песок мелкий/пылеватый плотный</t>
  </si>
  <si>
    <t>Статика - Песок крупный/средний плотный</t>
  </si>
  <si>
    <t>Другие ИИ - Глинистый</t>
  </si>
  <si>
    <t>Другие ИИ - Песок рыхлый/средней плотности</t>
  </si>
  <si>
    <t>Другие ИИ - Песок мелкий/пылеватый плотный</t>
  </si>
  <si>
    <t>Другие ИИ - Песок крупный/средний плотный</t>
  </si>
  <si>
    <r>
      <t>L</t>
    </r>
    <r>
      <rPr>
        <vertAlign val="subscript"/>
        <sz val="14"/>
        <rFont val="Calibri"/>
        <family val="2"/>
        <charset val="204"/>
      </rPr>
      <t>св.</t>
    </r>
  </si>
  <si>
    <t>№ опоры</t>
  </si>
  <si>
    <t>№ скважины</t>
  </si>
  <si>
    <t>Свободная длина, м</t>
  </si>
  <si>
    <t>Мин. заглубление, м</t>
  </si>
  <si>
    <t>Мин. общая длина, м</t>
  </si>
  <si>
    <t>Имя листа</t>
  </si>
  <si>
    <t>Продол.пр.</t>
  </si>
  <si>
    <t>Расчётная нагрузка на сваю (из ПК Midas),т (F)</t>
  </si>
  <si>
    <r>
      <t>Несущая способность, т (N</t>
    </r>
    <r>
      <rPr>
        <vertAlign val="subscript"/>
        <sz val="11"/>
        <color theme="1"/>
        <rFont val="Calibri"/>
        <family val="2"/>
        <charset val="204"/>
        <scheme val="minor"/>
      </rPr>
      <t>d</t>
    </r>
    <r>
      <rPr>
        <sz val="11"/>
        <color theme="1"/>
        <rFont val="Calibri"/>
        <family val="2"/>
        <charset val="204"/>
        <scheme val="minor"/>
      </rPr>
      <t>)</t>
    </r>
  </si>
  <si>
    <r>
      <t>Запас несущей способности, % ( (1-F/N</t>
    </r>
    <r>
      <rPr>
        <vertAlign val="subscript"/>
        <sz val="11"/>
        <color theme="1"/>
        <rFont val="Calibri"/>
        <family val="2"/>
        <charset val="204"/>
        <scheme val="minor"/>
      </rPr>
      <t>d</t>
    </r>
    <r>
      <rPr>
        <sz val="11"/>
        <color theme="1"/>
        <rFont val="Calibri"/>
        <family val="2"/>
        <charset val="204"/>
        <scheme val="minor"/>
      </rPr>
      <t>)*100 )</t>
    </r>
  </si>
  <si>
    <t>Оп1</t>
  </si>
  <si>
    <t>Оп2</t>
  </si>
  <si>
    <t>Плотность грунта под подошвой сваи</t>
  </si>
  <si>
    <t>Площадь опирания на грунт сваи, м2</t>
  </si>
  <si>
    <t>Лишних строк в списке слоёв</t>
  </si>
  <si>
    <t>грунтов быть не должно!</t>
  </si>
  <si>
    <t>Глубина заложения нижнего конца</t>
  </si>
  <si>
    <t>Расчетное сопротивление грунта под нижним концом сваи</t>
  </si>
  <si>
    <t>Принимается по таблице 7.2</t>
  </si>
  <si>
    <r>
      <t xml:space="preserve">Висячие забивные, вдавливаемые всех видов и сваи-оболочки, погружаемые без выемки грунта (забивные сваи трения)
</t>
    </r>
    <r>
      <rPr>
        <b/>
        <sz val="12"/>
        <color indexed="10"/>
        <rFont val="Calibri"/>
        <family val="2"/>
        <charset val="204"/>
      </rPr>
      <t>НЕ ДОБАВЛЯТЬ В РАСЧЁТ СТРОК И СТОЛБЦОВ!!!</t>
    </r>
  </si>
  <si>
    <t>Расчёт выполнен в соответствии с СП 24.13330.2021</t>
  </si>
  <si>
    <r>
      <t xml:space="preserve">Несущая способность одиночной сваи-оболочки, работающией на </t>
    </r>
    <r>
      <rPr>
        <b/>
        <sz val="9"/>
        <color theme="1"/>
        <rFont val="Calibri"/>
        <family val="2"/>
        <charset val="204"/>
        <scheme val="minor"/>
      </rPr>
      <t>сжимающую</t>
    </r>
    <r>
      <rPr>
        <sz val="9"/>
        <color theme="1"/>
        <rFont val="Calibri"/>
        <family val="2"/>
        <charset val="204"/>
        <scheme val="minor"/>
      </rPr>
      <t xml:space="preserve"> нагрузку с учётом сформированной пробки (пункт "а")</t>
    </r>
  </si>
  <si>
    <r>
      <t xml:space="preserve">Несущая способность одиночной сваи-оболочки, работающией на </t>
    </r>
    <r>
      <rPr>
        <b/>
        <sz val="9"/>
        <color theme="1"/>
        <rFont val="Calibri"/>
        <family val="2"/>
        <charset val="204"/>
        <scheme val="minor"/>
      </rPr>
      <t>сжимающую</t>
    </r>
    <r>
      <rPr>
        <sz val="9"/>
        <color theme="1"/>
        <rFont val="Calibri"/>
        <family val="2"/>
        <charset val="204"/>
        <scheme val="minor"/>
      </rPr>
      <t xml:space="preserve"> нагрузку с учётом сопротивления грунта по внутренней бок. поверхности (пункт "б")</t>
    </r>
  </si>
  <si>
    <r>
      <t>F</t>
    </r>
    <r>
      <rPr>
        <vertAlign val="subscript"/>
        <sz val="11"/>
        <color indexed="8"/>
        <rFont val="Calibri"/>
        <family val="2"/>
        <charset val="204"/>
      </rPr>
      <t>d</t>
    </r>
    <r>
      <rPr>
        <sz val="11"/>
        <color theme="1"/>
        <rFont val="Calibri"/>
        <family val="2"/>
        <charset val="204"/>
        <scheme val="minor"/>
      </rPr>
      <t xml:space="preserve"> (по "а")</t>
    </r>
  </si>
  <si>
    <r>
      <t>F</t>
    </r>
    <r>
      <rPr>
        <vertAlign val="subscript"/>
        <sz val="11"/>
        <color indexed="8"/>
        <rFont val="Calibri"/>
        <family val="2"/>
        <charset val="204"/>
      </rPr>
      <t>d</t>
    </r>
    <r>
      <rPr>
        <sz val="11"/>
        <color theme="1"/>
        <rFont val="Calibri"/>
        <family val="2"/>
        <charset val="204"/>
        <scheme val="minor"/>
      </rPr>
      <t xml:space="preserve"> (по "б")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</si>
  <si>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d</t>
    </r>
    <r>
      <rPr>
        <sz val="11"/>
        <color theme="1"/>
        <rFont val="Calibri"/>
        <family val="2"/>
        <charset val="204"/>
        <scheme val="minor"/>
      </rPr>
      <t>=Υ</t>
    </r>
    <r>
      <rPr>
        <vertAlign val="subscript"/>
        <sz val="11"/>
        <color theme="1"/>
        <rFont val="Calibri"/>
        <family val="2"/>
        <charset val="204"/>
        <scheme val="minor"/>
      </rPr>
      <t>c</t>
    </r>
    <r>
      <rPr>
        <sz val="11"/>
        <color theme="1"/>
        <rFont val="Calibri"/>
        <family val="2"/>
        <charset val="204"/>
        <scheme val="minor"/>
      </rPr>
      <t>·(Υ</t>
    </r>
    <r>
      <rPr>
        <vertAlign val="subscript"/>
        <sz val="11"/>
        <color theme="1"/>
        <rFont val="Calibri"/>
        <family val="2"/>
        <charset val="204"/>
        <scheme val="minor"/>
      </rPr>
      <t>R,R</t>
    </r>
    <r>
      <rPr>
        <sz val="11"/>
        <color theme="1"/>
        <rFont val="Calibri"/>
        <family val="2"/>
        <charset val="204"/>
        <scheme val="minor"/>
      </rPr>
      <t>·R·A+u·ΣΥ</t>
    </r>
    <r>
      <rPr>
        <vertAlign val="subscript"/>
        <sz val="11"/>
        <color theme="1"/>
        <rFont val="Calibri"/>
        <family val="2"/>
        <charset val="204"/>
        <scheme val="minor"/>
      </rPr>
      <t>R,f</t>
    </r>
    <r>
      <rPr>
        <sz val="11"/>
        <color theme="1"/>
        <rFont val="Calibri"/>
        <family val="2"/>
        <charset val="204"/>
        <scheme val="minor"/>
      </rPr>
      <t>·f</t>
    </r>
    <r>
      <rPr>
        <vertAlign val="subscript"/>
        <sz val="11"/>
        <color theme="1"/>
        <rFont val="Calibri"/>
        <family val="2"/>
        <charset val="204"/>
        <scheme val="minor"/>
      </rPr>
      <t>i</t>
    </r>
    <r>
      <rPr>
        <sz val="11"/>
        <color theme="1"/>
        <rFont val="Calibri"/>
        <family val="2"/>
        <charset val="204"/>
        <scheme val="minor"/>
      </rPr>
      <t>·h</t>
    </r>
    <r>
      <rPr>
        <vertAlign val="subscript"/>
        <sz val="11"/>
        <color theme="1"/>
        <rFont val="Calibri"/>
        <family val="2"/>
        <charset val="204"/>
        <scheme val="minor"/>
      </rPr>
      <t>i</t>
    </r>
    <r>
      <rPr>
        <sz val="11"/>
        <color theme="1"/>
        <rFont val="Calibri"/>
        <family val="2"/>
        <charset val="204"/>
        <scheme val="minor"/>
      </rPr>
      <t>)</t>
    </r>
  </si>
  <si>
    <r>
      <t>N</t>
    </r>
    <r>
      <rPr>
        <vertAlign val="subscript"/>
        <sz val="20"/>
        <color theme="1"/>
        <rFont val="Calibri"/>
        <family val="2"/>
        <charset val="204"/>
        <scheme val="minor"/>
      </rPr>
      <t>d</t>
    </r>
  </si>
  <si>
    <r>
      <t>N</t>
    </r>
    <r>
      <rPr>
        <vertAlign val="subscript"/>
        <sz val="20"/>
        <color theme="1"/>
        <rFont val="Calibri"/>
        <family val="2"/>
        <charset val="204"/>
        <scheme val="minor"/>
      </rPr>
      <t>du</t>
    </r>
  </si>
  <si>
    <t>Заделка нижнего конца сваи</t>
  </si>
  <si>
    <t>Оп3</t>
  </si>
  <si>
    <t>Оп4</t>
  </si>
  <si>
    <t>Оп5</t>
  </si>
  <si>
    <t>Оп6</t>
  </si>
  <si>
    <t>Оп7</t>
  </si>
  <si>
    <t>Оп8</t>
  </si>
  <si>
    <t>2. Суглинок мягкопластичный h=6.26м</t>
  </si>
  <si>
    <t>3. Суглинок полутвёрдый h=3.58м</t>
  </si>
  <si>
    <t>2. Суглинок мягкопластичный h=7.97м</t>
  </si>
  <si>
    <t>3. Суглинок полутвёрдый h=3.22м</t>
  </si>
  <si>
    <t>М-4, 316км, временный мост, сваи опор</t>
  </si>
  <si>
    <t>Продольник смотри в файле          2023-12-26__01__Схема для расчёта ППЧ.dwg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</si>
</sst>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00"/>
    <numFmt numFmtId="167" formatCode="0.0%"/>
  </numFmts>
  <fonts count="45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b/>
      <sz val="11"/>
      <color indexed="8"/>
      <name val="Calibri"/>
      <family val="2"/>
      <charset val="204"/>
    </font>
    <font>
      <vertAlign val="subscript"/>
      <sz val="11"/>
      <color indexed="8"/>
      <name val="Calibri"/>
      <family val="2"/>
      <charset val="204"/>
    </font>
    <font>
      <b/>
      <sz val="12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sz val="11"/>
      <name val="Calibri"/>
      <family val="2"/>
      <charset val="204"/>
    </font>
    <font>
      <i/>
      <vertAlign val="subscript"/>
      <sz val="12"/>
      <name val="Times New Roman"/>
      <family val="1"/>
      <charset val="204"/>
    </font>
    <font>
      <vertAlign val="subscript"/>
      <sz val="11"/>
      <name val="Calibri"/>
      <family val="2"/>
      <charset val="204"/>
    </font>
    <font>
      <b/>
      <sz val="11"/>
      <name val="Calibri"/>
      <family val="2"/>
      <charset val="204"/>
    </font>
    <font>
      <sz val="8"/>
      <name val="Calibri"/>
      <family val="2"/>
      <charset val="204"/>
    </font>
    <font>
      <sz val="10"/>
      <color indexed="8"/>
      <name val="Times New Roman"/>
      <family val="1"/>
      <charset val="204"/>
    </font>
    <font>
      <i/>
      <sz val="10"/>
      <color indexed="8"/>
      <name val="Times New Roman"/>
      <family val="1"/>
      <charset val="204"/>
    </font>
    <font>
      <i/>
      <vertAlign val="subscript"/>
      <sz val="10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1"/>
      <color indexed="10"/>
      <name val="Calibri"/>
      <family val="2"/>
      <charset val="204"/>
    </font>
    <font>
      <i/>
      <sz val="12"/>
      <name val="Times New Roman"/>
      <family val="1"/>
      <charset val="204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b/>
      <sz val="12"/>
      <color indexed="10"/>
      <name val="Calibri"/>
      <family val="2"/>
      <charset val="204"/>
    </font>
    <font>
      <sz val="8"/>
      <color rgb="FF000000"/>
      <name val="Tahoma"/>
      <family val="2"/>
      <charset val="204"/>
    </font>
    <font>
      <b/>
      <sz val="11"/>
      <color rgb="FF000000"/>
      <name val="Calibri"/>
      <family val="2"/>
      <charset val="204"/>
    </font>
    <font>
      <b/>
      <sz val="11"/>
      <color rgb="FFFF0000"/>
      <name val="Calibri"/>
      <family val="2"/>
      <charset val="204"/>
    </font>
    <font>
      <sz val="10"/>
      <color theme="1"/>
      <name val="Times New Roman"/>
      <family val="1"/>
      <charset val="204"/>
    </font>
    <font>
      <i/>
      <sz val="10"/>
      <color theme="1"/>
      <name val="Times New Roman"/>
      <family val="1"/>
      <charset val="204"/>
    </font>
    <font>
      <i/>
      <vertAlign val="subscript"/>
      <sz val="10"/>
      <color theme="1"/>
      <name val="Times New Roman"/>
      <family val="1"/>
      <charset val="204"/>
    </font>
    <font>
      <vertAlign val="subscript"/>
      <sz val="10"/>
      <color theme="1"/>
      <name val="Times New Roman"/>
      <family val="1"/>
      <charset val="204"/>
    </font>
    <font>
      <b/>
      <sz val="9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b/>
      <sz val="12"/>
      <color rgb="FFC0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vertAlign val="subscript"/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  <font>
      <sz val="8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14"/>
      <name val="Calibri"/>
      <family val="2"/>
      <charset val="204"/>
    </font>
    <font>
      <sz val="14"/>
      <name val="Calibri"/>
      <family val="2"/>
      <charset val="204"/>
    </font>
    <font>
      <vertAlign val="subscript"/>
      <sz val="14"/>
      <name val="Calibri"/>
      <family val="2"/>
      <charset val="204"/>
    </font>
    <font>
      <b/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18"/>
      <color rgb="FFC00000"/>
      <name val="Calibri"/>
      <family val="2"/>
      <charset val="204"/>
    </font>
    <font>
      <sz val="20"/>
      <color theme="1"/>
      <name val="Calibri"/>
      <family val="2"/>
      <charset val="204"/>
      <scheme val="minor"/>
    </font>
    <font>
      <vertAlign val="subscript"/>
      <sz val="20"/>
      <color theme="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216">
    <xf numFmtId="0" fontId="0" fillId="0" borderId="0" xfId="0"/>
    <xf numFmtId="0" fontId="0" fillId="0" borderId="2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2" fontId="0" fillId="0" borderId="17" xfId="0" applyNumberFormat="1" applyBorder="1" applyAlignment="1">
      <alignment horizontal="center" vertical="center" wrapText="1"/>
    </xf>
    <xf numFmtId="2" fontId="0" fillId="0" borderId="27" xfId="0" applyNumberFormat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2" fontId="0" fillId="0" borderId="26" xfId="0" applyNumberFormat="1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0" xfId="0" applyAlignment="1" applyProtection="1">
      <alignment vertical="center"/>
      <protection hidden="1"/>
    </xf>
    <xf numFmtId="0" fontId="0" fillId="0" borderId="23" xfId="0" applyBorder="1" applyAlignment="1" applyProtection="1">
      <alignment horizontal="center" vertical="center"/>
      <protection hidden="1"/>
    </xf>
    <xf numFmtId="2" fontId="9" fillId="8" borderId="23" xfId="0" applyNumberFormat="1" applyFont="1" applyFill="1" applyBorder="1" applyAlignment="1" applyProtection="1">
      <alignment horizontal="center" vertical="center"/>
      <protection hidden="1"/>
    </xf>
    <xf numFmtId="0" fontId="0" fillId="0" borderId="17" xfId="0" applyBorder="1" applyAlignment="1" applyProtection="1">
      <alignment horizontal="center" vertical="center"/>
      <protection hidden="1"/>
    </xf>
    <xf numFmtId="2" fontId="9" fillId="8" borderId="17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0" fontId="0" fillId="5" borderId="11" xfId="0" applyFill="1" applyBorder="1" applyAlignment="1" applyProtection="1">
      <alignment horizontal="center" vertical="center"/>
      <protection hidden="1"/>
    </xf>
    <xf numFmtId="0" fontId="0" fillId="2" borderId="18" xfId="0" applyFill="1" applyBorder="1" applyAlignment="1" applyProtection="1">
      <alignment horizontal="center" vertical="center"/>
      <protection hidden="1"/>
    </xf>
    <xf numFmtId="0" fontId="0" fillId="3" borderId="19" xfId="0" applyFill="1" applyBorder="1" applyAlignment="1" applyProtection="1">
      <alignment horizontal="center" vertical="center"/>
      <protection hidden="1"/>
    </xf>
    <xf numFmtId="0" fontId="0" fillId="2" borderId="20" xfId="0" applyFill="1" applyBorder="1" applyAlignment="1" applyProtection="1">
      <alignment horizontal="center" vertical="center"/>
      <protection hidden="1"/>
    </xf>
    <xf numFmtId="0" fontId="0" fillId="2" borderId="21" xfId="0" applyFill="1" applyBorder="1" applyAlignment="1" applyProtection="1">
      <alignment horizontal="center" vertical="center"/>
      <protection hidden="1"/>
    </xf>
    <xf numFmtId="0" fontId="0" fillId="2" borderId="22" xfId="0" applyFill="1" applyBorder="1" applyAlignment="1" applyProtection="1">
      <alignment horizontal="center" vertical="center"/>
      <protection hidden="1"/>
    </xf>
    <xf numFmtId="0" fontId="0" fillId="2" borderId="23" xfId="0" applyFill="1" applyBorder="1" applyAlignment="1" applyProtection="1">
      <alignment horizontal="center" vertical="center"/>
      <protection hidden="1"/>
    </xf>
    <xf numFmtId="0" fontId="0" fillId="2" borderId="24" xfId="0" applyFill="1" applyBorder="1" applyAlignment="1" applyProtection="1">
      <alignment horizontal="center" vertical="center"/>
      <protection hidden="1"/>
    </xf>
    <xf numFmtId="0" fontId="0" fillId="3" borderId="25" xfId="0" applyFill="1" applyBorder="1" applyAlignment="1" applyProtection="1">
      <alignment horizontal="center" vertical="center"/>
      <protection hidden="1"/>
    </xf>
    <xf numFmtId="0" fontId="0" fillId="2" borderId="26" xfId="0" applyFill="1" applyBorder="1" applyAlignment="1" applyProtection="1">
      <alignment horizontal="center" vertical="center"/>
      <protection hidden="1"/>
    </xf>
    <xf numFmtId="0" fontId="0" fillId="4" borderId="17" xfId="0" applyFill="1" applyBorder="1" applyAlignment="1" applyProtection="1">
      <alignment horizontal="center" vertical="center"/>
      <protection hidden="1"/>
    </xf>
    <xf numFmtId="0" fontId="0" fillId="2" borderId="27" xfId="0" applyFill="1" applyBorder="1" applyAlignment="1" applyProtection="1">
      <alignment horizontal="center" vertical="center"/>
      <protection hidden="1"/>
    </xf>
    <xf numFmtId="0" fontId="0" fillId="2" borderId="28" xfId="0" applyFill="1" applyBorder="1" applyAlignment="1" applyProtection="1">
      <alignment horizontal="center" vertical="center"/>
      <protection hidden="1"/>
    </xf>
    <xf numFmtId="0" fontId="0" fillId="2" borderId="29" xfId="0" applyFill="1" applyBorder="1" applyAlignment="1" applyProtection="1">
      <alignment horizontal="center" vertical="center"/>
      <protection hidden="1"/>
    </xf>
    <xf numFmtId="0" fontId="0" fillId="2" borderId="30" xfId="0" applyFill="1" applyBorder="1" applyAlignment="1" applyProtection="1">
      <alignment horizontal="center" vertical="center"/>
      <protection hidden="1"/>
    </xf>
    <xf numFmtId="0" fontId="0" fillId="2" borderId="31" xfId="0" applyFill="1" applyBorder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 wrapText="1"/>
      <protection hidden="1"/>
    </xf>
    <xf numFmtId="0" fontId="6" fillId="0" borderId="0" xfId="0" applyFont="1" applyAlignment="1" applyProtection="1">
      <alignment vertical="center" wrapText="1"/>
      <protection hidden="1"/>
    </xf>
    <xf numFmtId="164" fontId="6" fillId="0" borderId="0" xfId="0" applyNumberFormat="1" applyFont="1" applyAlignment="1" applyProtection="1">
      <alignment horizontal="center" vertical="center"/>
      <protection hidden="1"/>
    </xf>
    <xf numFmtId="0" fontId="0" fillId="0" borderId="34" xfId="0" applyBorder="1" applyAlignment="1" applyProtection="1">
      <alignment horizontal="center" vertical="center" wrapText="1"/>
      <protection hidden="1"/>
    </xf>
    <xf numFmtId="0" fontId="0" fillId="0" borderId="35" xfId="0" applyBorder="1" applyAlignment="1" applyProtection="1">
      <alignment horizontal="center" vertical="center" wrapText="1"/>
      <protection hidden="1"/>
    </xf>
    <xf numFmtId="0" fontId="6" fillId="0" borderId="35" xfId="0" applyFont="1" applyBorder="1" applyAlignment="1" applyProtection="1">
      <alignment horizontal="center" vertical="center" wrapText="1"/>
      <protection hidden="1"/>
    </xf>
    <xf numFmtId="0" fontId="6" fillId="0" borderId="36" xfId="0" applyFont="1" applyBorder="1" applyAlignment="1" applyProtection="1">
      <alignment horizontal="center" vertical="center" wrapText="1"/>
      <protection hidden="1"/>
    </xf>
    <xf numFmtId="0" fontId="6" fillId="0" borderId="37" xfId="0" applyFont="1" applyBorder="1" applyAlignment="1" applyProtection="1">
      <alignment horizontal="center" vertical="center" wrapText="1"/>
      <protection hidden="1"/>
    </xf>
    <xf numFmtId="0" fontId="0" fillId="0" borderId="33" xfId="0" applyBorder="1" applyAlignment="1" applyProtection="1">
      <alignment horizontal="center" vertical="center"/>
      <protection hidden="1"/>
    </xf>
    <xf numFmtId="0" fontId="6" fillId="8" borderId="19" xfId="0" applyFont="1" applyFill="1" applyBorder="1" applyAlignment="1" applyProtection="1">
      <alignment horizontal="center" vertical="center"/>
      <protection hidden="1"/>
    </xf>
    <xf numFmtId="0" fontId="6" fillId="8" borderId="20" xfId="0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 applyProtection="1">
      <alignment horizontal="center" vertical="center"/>
      <protection hidden="1"/>
    </xf>
    <xf numFmtId="0" fontId="6" fillId="8" borderId="30" xfId="0" applyFont="1" applyFill="1" applyBorder="1" applyAlignment="1" applyProtection="1">
      <alignment horizontal="center" vertical="center"/>
      <protection hidden="1"/>
    </xf>
    <xf numFmtId="0" fontId="6" fillId="8" borderId="31" xfId="0" applyFont="1" applyFill="1" applyBorder="1" applyAlignment="1" applyProtection="1">
      <alignment horizontal="center" vertical="center"/>
      <protection hidden="1"/>
    </xf>
    <xf numFmtId="165" fontId="2" fillId="8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right" vertical="center" wrapText="1"/>
      <protection hidden="1"/>
    </xf>
    <xf numFmtId="0" fontId="6" fillId="9" borderId="19" xfId="0" applyFont="1" applyFill="1" applyBorder="1" applyAlignment="1" applyProtection="1">
      <alignment horizontal="center" vertical="center"/>
      <protection locked="0"/>
    </xf>
    <xf numFmtId="0" fontId="6" fillId="9" borderId="30" xfId="0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hidden="1"/>
    </xf>
    <xf numFmtId="0" fontId="11" fillId="2" borderId="1" xfId="0" applyFont="1" applyFill="1" applyBorder="1" applyAlignment="1" applyProtection="1">
      <alignment horizontal="center" vertical="center" wrapText="1"/>
      <protection hidden="1"/>
    </xf>
    <xf numFmtId="0" fontId="11" fillId="2" borderId="14" xfId="0" applyFont="1" applyFill="1" applyBorder="1" applyAlignment="1" applyProtection="1">
      <alignment horizontal="center" vertical="center" wrapText="1"/>
      <protection hidden="1"/>
    </xf>
    <xf numFmtId="0" fontId="11" fillId="2" borderId="2" xfId="0" applyFont="1" applyFill="1" applyBorder="1" applyAlignment="1" applyProtection="1">
      <alignment horizontal="center" vertical="center" wrapText="1"/>
      <protection hidden="1"/>
    </xf>
    <xf numFmtId="0" fontId="23" fillId="7" borderId="3" xfId="0" applyFont="1" applyFill="1" applyBorder="1" applyAlignment="1" applyProtection="1">
      <alignment horizontal="center" vertical="center" wrapText="1"/>
      <protection hidden="1"/>
    </xf>
    <xf numFmtId="0" fontId="11" fillId="2" borderId="3" xfId="0" applyFont="1" applyFill="1" applyBorder="1" applyAlignment="1" applyProtection="1">
      <alignment horizontal="center" vertical="center" wrapText="1"/>
      <protection hidden="1"/>
    </xf>
    <xf numFmtId="0" fontId="23" fillId="7" borderId="2" xfId="0" applyFont="1" applyFill="1" applyBorder="1" applyAlignment="1" applyProtection="1">
      <alignment horizontal="justify" vertical="center" wrapText="1"/>
      <protection hidden="1"/>
    </xf>
    <xf numFmtId="0" fontId="23" fillId="7" borderId="10" xfId="0" applyFont="1" applyFill="1" applyBorder="1" applyAlignment="1" applyProtection="1">
      <alignment horizontal="center" vertical="center" wrapText="1"/>
      <protection hidden="1"/>
    </xf>
    <xf numFmtId="0" fontId="23" fillId="7" borderId="10" xfId="0" applyFont="1" applyFill="1" applyBorder="1" applyAlignment="1" applyProtection="1">
      <alignment vertical="top" wrapText="1"/>
      <protection hidden="1"/>
    </xf>
    <xf numFmtId="0" fontId="11" fillId="2" borderId="4" xfId="0" applyFont="1" applyFill="1" applyBorder="1" applyAlignment="1" applyProtection="1">
      <alignment horizontal="center" vertical="center" wrapText="1"/>
      <protection hidden="1"/>
    </xf>
    <xf numFmtId="0" fontId="11" fillId="2" borderId="5" xfId="0" applyFont="1" applyFill="1" applyBorder="1" applyAlignment="1" applyProtection="1">
      <alignment horizontal="center" vertical="center" wrapText="1"/>
      <protection hidden="1"/>
    </xf>
    <xf numFmtId="0" fontId="11" fillId="2" borderId="6" xfId="0" applyFont="1" applyFill="1" applyBorder="1" applyAlignment="1" applyProtection="1">
      <alignment horizontal="center" vertical="center" wrapText="1"/>
      <protection hidden="1"/>
    </xf>
    <xf numFmtId="0" fontId="11" fillId="2" borderId="7" xfId="0" applyFont="1" applyFill="1" applyBorder="1" applyAlignment="1" applyProtection="1">
      <alignment horizontal="center" vertical="center" wrapText="1"/>
      <protection hidden="1"/>
    </xf>
    <xf numFmtId="0" fontId="12" fillId="2" borderId="7" xfId="0" applyFont="1" applyFill="1" applyBorder="1" applyAlignment="1" applyProtection="1">
      <alignment horizontal="center" vertical="center" wrapText="1"/>
      <protection hidden="1"/>
    </xf>
    <xf numFmtId="0" fontId="11" fillId="2" borderId="8" xfId="0" applyFont="1" applyFill="1" applyBorder="1" applyAlignment="1" applyProtection="1">
      <alignment horizontal="center" vertical="center" wrapText="1"/>
      <protection hidden="1"/>
    </xf>
    <xf numFmtId="0" fontId="11" fillId="2" borderId="9" xfId="0" applyFont="1" applyFill="1" applyBorder="1" applyAlignment="1" applyProtection="1">
      <alignment horizontal="center" vertical="center" wrapText="1"/>
      <protection hidden="1"/>
    </xf>
    <xf numFmtId="0" fontId="11" fillId="2" borderId="10" xfId="0" applyFont="1" applyFill="1" applyBorder="1" applyAlignment="1" applyProtection="1">
      <alignment horizontal="center" vertical="center" wrapText="1"/>
      <protection hidden="1"/>
    </xf>
    <xf numFmtId="0" fontId="11" fillId="2" borderId="11" xfId="0" applyFont="1" applyFill="1" applyBorder="1" applyAlignment="1" applyProtection="1">
      <alignment horizontal="center" vertical="center" wrapText="1"/>
      <protection hidden="1"/>
    </xf>
    <xf numFmtId="0" fontId="11" fillId="2" borderId="12" xfId="0" applyFont="1" applyFill="1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2" borderId="13" xfId="0" applyFill="1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left" vertical="center"/>
      <protection hidden="1"/>
    </xf>
    <xf numFmtId="0" fontId="0" fillId="0" borderId="14" xfId="0" applyBorder="1" applyAlignment="1" applyProtection="1">
      <alignment horizontal="center" vertical="center"/>
      <protection hidden="1"/>
    </xf>
    <xf numFmtId="0" fontId="0" fillId="0" borderId="16" xfId="0" applyBorder="1" applyAlignment="1" applyProtection="1">
      <alignment horizontal="center" vertical="center" wrapText="1"/>
      <protection hidden="1"/>
    </xf>
    <xf numFmtId="0" fontId="0" fillId="0" borderId="13" xfId="0" applyBorder="1" applyAlignment="1" applyProtection="1">
      <alignment horizontal="center" vertical="center"/>
      <protection hidden="1"/>
    </xf>
    <xf numFmtId="0" fontId="0" fillId="2" borderId="15" xfId="0" applyFill="1" applyBorder="1" applyAlignment="1" applyProtection="1">
      <alignment horizontal="center" vertical="center"/>
      <protection hidden="1"/>
    </xf>
    <xf numFmtId="0" fontId="0" fillId="2" borderId="14" xfId="0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hidden="1"/>
    </xf>
    <xf numFmtId="0" fontId="0" fillId="3" borderId="25" xfId="0" applyFill="1" applyBorder="1" applyAlignment="1" applyProtection="1">
      <alignment horizontal="center" vertical="center"/>
      <protection locked="0"/>
    </xf>
    <xf numFmtId="0" fontId="0" fillId="3" borderId="19" xfId="0" applyFill="1" applyBorder="1" applyAlignment="1" applyProtection="1">
      <alignment horizontal="center" vertical="center"/>
      <protection locked="0"/>
    </xf>
    <xf numFmtId="0" fontId="0" fillId="3" borderId="13" xfId="0" applyFill="1" applyBorder="1" applyAlignment="1" applyProtection="1">
      <alignment horizontal="center" vertical="center"/>
      <protection locked="0"/>
    </xf>
    <xf numFmtId="49" fontId="0" fillId="0" borderId="30" xfId="0" applyNumberFormat="1" applyBorder="1" applyAlignment="1" applyProtection="1">
      <alignment vertical="center" wrapText="1"/>
      <protection locked="0"/>
    </xf>
    <xf numFmtId="49" fontId="0" fillId="0" borderId="19" xfId="0" applyNumberFormat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30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41" xfId="0" applyBorder="1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0" fillId="0" borderId="29" xfId="0" applyBorder="1" applyAlignment="1">
      <alignment horizontal="center" vertical="center" wrapText="1"/>
    </xf>
    <xf numFmtId="0" fontId="0" fillId="0" borderId="41" xfId="0" applyBorder="1" applyAlignment="1">
      <alignment horizontal="left" vertical="center"/>
    </xf>
    <xf numFmtId="0" fontId="0" fillId="0" borderId="8" xfId="0" applyBorder="1" applyAlignment="1">
      <alignment horizontal="center" vertical="center" wrapText="1"/>
    </xf>
    <xf numFmtId="167" fontId="0" fillId="0" borderId="29" xfId="0" applyNumberFormat="1" applyBorder="1" applyAlignment="1">
      <alignment horizontal="center" vertical="center" wrapText="1"/>
    </xf>
    <xf numFmtId="167" fontId="0" fillId="0" borderId="30" xfId="0" applyNumberFormat="1" applyBorder="1" applyAlignment="1">
      <alignment horizontal="center" vertical="center" wrapText="1"/>
    </xf>
    <xf numFmtId="167" fontId="0" fillId="0" borderId="31" xfId="0" applyNumberFormat="1" applyBorder="1" applyAlignment="1">
      <alignment horizontal="center" vertical="center" wrapText="1"/>
    </xf>
    <xf numFmtId="2" fontId="40" fillId="0" borderId="26" xfId="0" applyNumberFormat="1" applyFont="1" applyBorder="1" applyAlignment="1">
      <alignment horizontal="center" vertical="center" wrapText="1"/>
    </xf>
    <xf numFmtId="2" fontId="40" fillId="0" borderId="17" xfId="0" applyNumberFormat="1" applyFont="1" applyBorder="1" applyAlignment="1">
      <alignment horizontal="center" vertical="center" wrapText="1"/>
    </xf>
    <xf numFmtId="2" fontId="40" fillId="0" borderId="27" xfId="0" applyNumberFormat="1" applyFont="1" applyBorder="1" applyAlignment="1">
      <alignment horizontal="center" vertical="center" wrapText="1"/>
    </xf>
    <xf numFmtId="0" fontId="40" fillId="0" borderId="8" xfId="0" applyFont="1" applyBorder="1" applyAlignment="1">
      <alignment horizontal="center" vertical="center"/>
    </xf>
    <xf numFmtId="0" fontId="0" fillId="0" borderId="45" xfId="0" applyBorder="1" applyAlignment="1" applyProtection="1">
      <alignment horizontal="center" vertical="center"/>
      <protection hidden="1"/>
    </xf>
    <xf numFmtId="0" fontId="0" fillId="0" borderId="47" xfId="0" applyBorder="1" applyAlignment="1" applyProtection="1">
      <alignment horizontal="center" vertical="center"/>
      <protection hidden="1"/>
    </xf>
    <xf numFmtId="0" fontId="41" fillId="8" borderId="32" xfId="0" applyFont="1" applyFill="1" applyBorder="1" applyAlignment="1" applyProtection="1">
      <alignment horizontal="center" vertical="center"/>
      <protection hidden="1"/>
    </xf>
    <xf numFmtId="165" fontId="42" fillId="8" borderId="32" xfId="0" applyNumberFormat="1" applyFont="1" applyFill="1" applyBorder="1" applyAlignment="1" applyProtection="1">
      <alignment horizontal="center" vertical="center"/>
      <protection hidden="1"/>
    </xf>
    <xf numFmtId="0" fontId="0" fillId="9" borderId="23" xfId="0" applyFill="1" applyBorder="1" applyAlignment="1" applyProtection="1">
      <alignment horizontal="center" vertical="center"/>
      <protection locked="0"/>
    </xf>
    <xf numFmtId="0" fontId="0" fillId="9" borderId="17" xfId="0" applyFill="1" applyBorder="1" applyAlignment="1" applyProtection="1">
      <alignment horizontal="center" vertical="center"/>
      <protection locked="0"/>
    </xf>
    <xf numFmtId="0" fontId="0" fillId="9" borderId="47" xfId="0" applyFill="1" applyBorder="1" applyAlignment="1" applyProtection="1">
      <alignment horizontal="center" vertical="center"/>
      <protection hidden="1"/>
    </xf>
    <xf numFmtId="0" fontId="0" fillId="9" borderId="48" xfId="0" applyFill="1" applyBorder="1" applyAlignment="1" applyProtection="1">
      <alignment horizontal="center" vertical="center"/>
      <protection hidden="1"/>
    </xf>
    <xf numFmtId="2" fontId="0" fillId="8" borderId="17" xfId="0" applyNumberFormat="1" applyFill="1" applyBorder="1" applyAlignment="1" applyProtection="1">
      <alignment horizontal="center" vertical="center"/>
      <protection hidden="1"/>
    </xf>
    <xf numFmtId="0" fontId="6" fillId="0" borderId="17" xfId="0" applyFont="1" applyBorder="1" applyAlignment="1" applyProtection="1">
      <alignment horizontal="center" vertical="center"/>
      <protection hidden="1"/>
    </xf>
    <xf numFmtId="0" fontId="6" fillId="8" borderId="17" xfId="0" applyFont="1" applyFill="1" applyBorder="1" applyAlignment="1" applyProtection="1">
      <alignment horizontal="center" vertical="center"/>
      <protection hidden="1"/>
    </xf>
    <xf numFmtId="0" fontId="6" fillId="0" borderId="47" xfId="0" applyFont="1" applyBorder="1" applyAlignment="1" applyProtection="1">
      <alignment horizontal="center" vertical="center"/>
      <protection hidden="1"/>
    </xf>
    <xf numFmtId="0" fontId="6" fillId="9" borderId="17" xfId="0" applyFont="1" applyFill="1" applyBorder="1" applyAlignment="1" applyProtection="1">
      <alignment horizontal="center" vertical="center"/>
      <protection locked="0"/>
    </xf>
    <xf numFmtId="0" fontId="38" fillId="0" borderId="17" xfId="0" applyFont="1" applyBorder="1" applyAlignment="1" applyProtection="1">
      <alignment horizontal="center" vertical="center"/>
      <protection hidden="1"/>
    </xf>
    <xf numFmtId="2" fontId="37" fillId="8" borderId="17" xfId="0" applyNumberFormat="1" applyFont="1" applyFill="1" applyBorder="1" applyAlignment="1" applyProtection="1">
      <alignment horizontal="center" vertical="center"/>
      <protection hidden="1"/>
    </xf>
    <xf numFmtId="0" fontId="38" fillId="0" borderId="47" xfId="0" applyFont="1" applyBorder="1" applyAlignment="1" applyProtection="1">
      <alignment horizontal="center" vertical="center"/>
      <protection hidden="1"/>
    </xf>
    <xf numFmtId="0" fontId="6" fillId="0" borderId="17" xfId="0" applyFont="1" applyBorder="1" applyAlignment="1" applyProtection="1">
      <alignment vertical="center"/>
      <protection hidden="1"/>
    </xf>
    <xf numFmtId="165" fontId="9" fillId="8" borderId="17" xfId="0" applyNumberFormat="1" applyFont="1" applyFill="1" applyBorder="1" applyAlignment="1" applyProtection="1">
      <alignment horizontal="center" vertical="center"/>
      <protection hidden="1"/>
    </xf>
    <xf numFmtId="0" fontId="0" fillId="0" borderId="17" xfId="0" applyBorder="1" applyAlignment="1" applyProtection="1">
      <alignment vertical="center"/>
      <protection hidden="1"/>
    </xf>
    <xf numFmtId="166" fontId="0" fillId="8" borderId="17" xfId="0" applyNumberFormat="1" applyFill="1" applyBorder="1" applyAlignment="1" applyProtection="1">
      <alignment horizontal="center" vertical="center"/>
      <protection hidden="1"/>
    </xf>
    <xf numFmtId="166" fontId="6" fillId="8" borderId="17" xfId="0" applyNumberFormat="1" applyFont="1" applyFill="1" applyBorder="1" applyAlignment="1" applyProtection="1">
      <alignment horizontal="center" vertical="center"/>
      <protection hidden="1"/>
    </xf>
    <xf numFmtId="2" fontId="2" fillId="8" borderId="17" xfId="0" applyNumberFormat="1" applyFont="1" applyFill="1" applyBorder="1" applyAlignment="1" applyProtection="1">
      <alignment horizontal="center" vertical="center"/>
      <protection hidden="1"/>
    </xf>
    <xf numFmtId="0" fontId="0" fillId="0" borderId="30" xfId="0" applyBorder="1" applyAlignment="1" applyProtection="1">
      <alignment horizontal="center" vertical="center"/>
      <protection hidden="1"/>
    </xf>
    <xf numFmtId="164" fontId="6" fillId="9" borderId="30" xfId="0" applyNumberFormat="1" applyFont="1" applyFill="1" applyBorder="1" applyAlignment="1" applyProtection="1">
      <alignment horizontal="center" vertical="center"/>
      <protection locked="0"/>
    </xf>
    <xf numFmtId="0" fontId="6" fillId="0" borderId="30" xfId="0" applyFont="1" applyBorder="1" applyAlignment="1" applyProtection="1">
      <alignment horizontal="center" vertical="center"/>
      <protection hidden="1"/>
    </xf>
    <xf numFmtId="0" fontId="0" fillId="0" borderId="19" xfId="0" applyBorder="1" applyAlignment="1" applyProtection="1">
      <alignment horizontal="center" vertical="center"/>
      <protection hidden="1"/>
    </xf>
    <xf numFmtId="2" fontId="9" fillId="8" borderId="19" xfId="0" applyNumberFormat="1" applyFont="1" applyFill="1" applyBorder="1" applyAlignment="1" applyProtection="1">
      <alignment horizontal="center" vertical="center"/>
      <protection hidden="1"/>
    </xf>
    <xf numFmtId="0" fontId="41" fillId="8" borderId="23" xfId="0" applyFont="1" applyFill="1" applyBorder="1" applyAlignment="1" applyProtection="1">
      <alignment horizontal="center" vertical="center"/>
      <protection hidden="1"/>
    </xf>
    <xf numFmtId="165" fontId="42" fillId="8" borderId="23" xfId="0" applyNumberFormat="1" applyFont="1" applyFill="1" applyBorder="1" applyAlignment="1" applyProtection="1">
      <alignment horizontal="center" vertical="center"/>
      <protection hidden="1"/>
    </xf>
    <xf numFmtId="2" fontId="2" fillId="8" borderId="30" xfId="0" applyNumberFormat="1" applyFont="1" applyFill="1" applyBorder="1" applyAlignment="1" applyProtection="1">
      <alignment horizontal="center" vertical="center"/>
      <protection hidden="1"/>
    </xf>
    <xf numFmtId="0" fontId="43" fillId="8" borderId="23" xfId="0" applyFont="1" applyFill="1" applyBorder="1" applyAlignment="1" applyProtection="1">
      <alignment horizontal="center" vertical="center"/>
      <protection hidden="1"/>
    </xf>
    <xf numFmtId="0" fontId="43" fillId="8" borderId="32" xfId="0" applyFont="1" applyFill="1" applyBorder="1" applyAlignment="1" applyProtection="1">
      <alignment horizontal="center" vertical="center"/>
      <protection hidden="1"/>
    </xf>
    <xf numFmtId="0" fontId="0" fillId="0" borderId="59" xfId="0" applyBorder="1" applyAlignment="1">
      <alignment horizontal="center" vertical="center" wrapText="1"/>
    </xf>
    <xf numFmtId="2" fontId="0" fillId="0" borderId="59" xfId="0" applyNumberFormat="1" applyBorder="1" applyAlignment="1">
      <alignment horizontal="center" vertical="center" wrapText="1"/>
    </xf>
    <xf numFmtId="0" fontId="0" fillId="0" borderId="41" xfId="0" applyBorder="1" applyAlignment="1" applyProtection="1">
      <alignment horizontal="center" vertical="center" wrapText="1"/>
      <protection hidden="1"/>
    </xf>
    <xf numFmtId="0" fontId="0" fillId="0" borderId="40" xfId="0" applyBorder="1" applyAlignment="1" applyProtection="1">
      <alignment horizontal="center" vertical="center"/>
      <protection hidden="1"/>
    </xf>
    <xf numFmtId="0" fontId="0" fillId="0" borderId="23" xfId="0" applyBorder="1" applyAlignment="1" applyProtection="1">
      <alignment horizontal="center" vertical="center"/>
      <protection hidden="1"/>
    </xf>
    <xf numFmtId="0" fontId="0" fillId="0" borderId="24" xfId="0" applyBorder="1" applyAlignment="1" applyProtection="1">
      <alignment horizontal="center" vertical="center"/>
      <protection hidden="1"/>
    </xf>
    <xf numFmtId="0" fontId="15" fillId="0" borderId="0" xfId="0" applyFont="1" applyAlignment="1" applyProtection="1">
      <alignment horizontal="left" vertical="center"/>
      <protection hidden="1"/>
    </xf>
    <xf numFmtId="0" fontId="0" fillId="0" borderId="25" xfId="0" applyBorder="1" applyAlignment="1" applyProtection="1">
      <alignment horizontal="left" vertical="center" wrapText="1"/>
      <protection hidden="1"/>
    </xf>
    <xf numFmtId="0" fontId="0" fillId="0" borderId="53" xfId="0" applyBorder="1" applyAlignment="1" applyProtection="1">
      <alignment horizontal="left" vertical="center" wrapText="1"/>
      <protection hidden="1"/>
    </xf>
    <xf numFmtId="0" fontId="0" fillId="0" borderId="52" xfId="0" applyBorder="1" applyAlignment="1" applyProtection="1">
      <alignment horizontal="left" vertical="center" wrapText="1"/>
      <protection hidden="1"/>
    </xf>
    <xf numFmtId="0" fontId="0" fillId="0" borderId="40" xfId="0" applyBorder="1" applyAlignment="1" applyProtection="1">
      <alignment horizontal="left" vertical="center" wrapText="1"/>
      <protection hidden="1"/>
    </xf>
    <xf numFmtId="0" fontId="36" fillId="9" borderId="47" xfId="0" applyFont="1" applyFill="1" applyBorder="1" applyAlignment="1" applyProtection="1">
      <alignment horizontal="center" vertical="center" wrapText="1"/>
      <protection hidden="1"/>
    </xf>
    <xf numFmtId="0" fontId="36" fillId="9" borderId="48" xfId="0" applyFont="1" applyFill="1" applyBorder="1" applyAlignment="1" applyProtection="1">
      <alignment horizontal="center" vertical="center"/>
      <protection hidden="1"/>
    </xf>
    <xf numFmtId="0" fontId="36" fillId="9" borderId="9" xfId="0" applyFont="1" applyFill="1" applyBorder="1" applyAlignment="1" applyProtection="1">
      <alignment horizontal="center" vertical="center"/>
      <protection hidden="1"/>
    </xf>
    <xf numFmtId="0" fontId="0" fillId="0" borderId="47" xfId="0" applyBorder="1" applyAlignment="1" applyProtection="1">
      <alignment horizontal="center" vertical="center"/>
      <protection hidden="1"/>
    </xf>
    <xf numFmtId="0" fontId="0" fillId="0" borderId="48" xfId="0" applyBorder="1" applyAlignment="1" applyProtection="1">
      <alignment horizontal="center" vertical="center"/>
      <protection hidden="1"/>
    </xf>
    <xf numFmtId="0" fontId="0" fillId="0" borderId="9" xfId="0" applyBorder="1" applyAlignment="1" applyProtection="1">
      <alignment horizontal="center" vertical="center"/>
      <protection hidden="1"/>
    </xf>
    <xf numFmtId="0" fontId="0" fillId="0" borderId="45" xfId="0" applyBorder="1" applyAlignment="1" applyProtection="1">
      <alignment horizontal="center" vertical="center"/>
      <protection hidden="1"/>
    </xf>
    <xf numFmtId="0" fontId="0" fillId="0" borderId="46" xfId="0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/>
      <protection hidden="1"/>
    </xf>
    <xf numFmtId="0" fontId="0" fillId="0" borderId="47" xfId="0" applyBorder="1" applyAlignment="1" applyProtection="1">
      <alignment horizontal="center" vertical="center" wrapText="1"/>
      <protection hidden="1"/>
    </xf>
    <xf numFmtId="0" fontId="0" fillId="0" borderId="48" xfId="0" applyBorder="1" applyAlignment="1" applyProtection="1">
      <alignment horizontal="center" vertical="center" wrapText="1"/>
      <protection hidden="1"/>
    </xf>
    <xf numFmtId="0" fontId="0" fillId="0" borderId="9" xfId="0" applyBorder="1" applyAlignment="1" applyProtection="1">
      <alignment horizontal="center" vertical="center" wrapText="1"/>
      <protection hidden="1"/>
    </xf>
    <xf numFmtId="0" fontId="6" fillId="0" borderId="25" xfId="0" applyFont="1" applyBorder="1" applyAlignment="1" applyProtection="1">
      <alignment horizontal="left" vertical="center" wrapText="1"/>
      <protection hidden="1"/>
    </xf>
    <xf numFmtId="0" fontId="6" fillId="0" borderId="53" xfId="0" applyFont="1" applyBorder="1" applyAlignment="1" applyProtection="1">
      <alignment horizontal="left" vertical="center" wrapText="1"/>
      <protection hidden="1"/>
    </xf>
    <xf numFmtId="0" fontId="0" fillId="0" borderId="49" xfId="0" applyBorder="1" applyAlignment="1" applyProtection="1">
      <alignment horizontal="center" vertical="center"/>
      <protection hidden="1"/>
    </xf>
    <xf numFmtId="0" fontId="0" fillId="0" borderId="50" xfId="0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left" vertical="center" wrapText="1"/>
      <protection hidden="1"/>
    </xf>
    <xf numFmtId="0" fontId="0" fillId="0" borderId="51" xfId="0" applyBorder="1" applyAlignment="1" applyProtection="1">
      <alignment horizontal="left" vertical="center" wrapText="1"/>
      <protection hidden="1"/>
    </xf>
    <xf numFmtId="0" fontId="0" fillId="0" borderId="28" xfId="0" applyBorder="1" applyAlignment="1" applyProtection="1">
      <alignment horizontal="left" vertical="center" wrapText="1"/>
      <protection hidden="1"/>
    </xf>
    <xf numFmtId="0" fontId="0" fillId="0" borderId="54" xfId="0" applyBorder="1" applyAlignment="1" applyProtection="1">
      <alignment horizontal="left" vertical="center" wrapText="1"/>
      <protection hidden="1"/>
    </xf>
    <xf numFmtId="0" fontId="28" fillId="0" borderId="55" xfId="0" applyFont="1" applyBorder="1" applyAlignment="1" applyProtection="1">
      <alignment horizontal="left" vertical="center" wrapText="1"/>
      <protection hidden="1"/>
    </xf>
    <xf numFmtId="0" fontId="28" fillId="0" borderId="18" xfId="0" applyFont="1" applyBorder="1" applyAlignment="1" applyProtection="1">
      <alignment horizontal="left" vertical="center" wrapText="1"/>
      <protection hidden="1"/>
    </xf>
    <xf numFmtId="0" fontId="28" fillId="0" borderId="25" xfId="0" applyFont="1" applyBorder="1" applyAlignment="1" applyProtection="1">
      <alignment horizontal="left" vertical="center" wrapText="1"/>
      <protection hidden="1"/>
    </xf>
    <xf numFmtId="0" fontId="28" fillId="0" borderId="53" xfId="0" applyFont="1" applyBorder="1" applyAlignment="1" applyProtection="1">
      <alignment horizontal="left" vertical="center" wrapText="1"/>
      <protection hidden="1"/>
    </xf>
    <xf numFmtId="0" fontId="28" fillId="0" borderId="52" xfId="0" applyFont="1" applyBorder="1" applyAlignment="1" applyProtection="1">
      <alignment horizontal="left" vertical="center" wrapText="1"/>
      <protection hidden="1"/>
    </xf>
    <xf numFmtId="0" fontId="28" fillId="0" borderId="40" xfId="0" applyFont="1" applyBorder="1" applyAlignment="1" applyProtection="1">
      <alignment horizontal="left" vertical="center" wrapText="1"/>
      <protection hidden="1"/>
    </xf>
    <xf numFmtId="0" fontId="0" fillId="0" borderId="43" xfId="0" applyBorder="1" applyAlignment="1" applyProtection="1">
      <alignment horizontal="center" vertical="center" wrapText="1"/>
      <protection hidden="1"/>
    </xf>
    <xf numFmtId="0" fontId="0" fillId="0" borderId="42" xfId="0" applyBorder="1" applyAlignment="1" applyProtection="1">
      <alignment horizontal="center" vertical="center" wrapText="1"/>
      <protection hidden="1"/>
    </xf>
    <xf numFmtId="0" fontId="0" fillId="0" borderId="14" xfId="0" applyBorder="1" applyAlignment="1" applyProtection="1">
      <alignment horizontal="center" vertical="center" wrapText="1"/>
      <protection hidden="1"/>
    </xf>
    <xf numFmtId="0" fontId="0" fillId="0" borderId="45" xfId="0" applyBorder="1" applyAlignment="1" applyProtection="1">
      <alignment horizontal="center" vertical="center" wrapText="1"/>
      <protection hidden="1"/>
    </xf>
    <xf numFmtId="0" fontId="0" fillId="0" borderId="46" xfId="0" applyBorder="1" applyAlignment="1" applyProtection="1">
      <alignment horizontal="center" vertical="center" wrapText="1"/>
      <protection hidden="1"/>
    </xf>
    <xf numFmtId="0" fontId="0" fillId="0" borderId="6" xfId="0" applyBorder="1" applyAlignment="1" applyProtection="1">
      <alignment horizontal="center" vertical="center" wrapText="1"/>
      <protection hidden="1"/>
    </xf>
    <xf numFmtId="0" fontId="0" fillId="0" borderId="56" xfId="0" applyBorder="1" applyAlignment="1" applyProtection="1">
      <alignment horizontal="center" vertical="center" wrapText="1"/>
      <protection hidden="1"/>
    </xf>
    <xf numFmtId="0" fontId="0" fillId="0" borderId="57" xfId="0" applyBorder="1" applyAlignment="1" applyProtection="1">
      <alignment horizontal="center" vertical="center" wrapText="1"/>
      <protection hidden="1"/>
    </xf>
    <xf numFmtId="0" fontId="0" fillId="0" borderId="58" xfId="0" applyBorder="1" applyAlignment="1" applyProtection="1">
      <alignment horizontal="center" vertical="center" wrapText="1"/>
      <protection hidden="1"/>
    </xf>
    <xf numFmtId="0" fontId="6" fillId="0" borderId="28" xfId="0" applyFont="1" applyBorder="1" applyAlignment="1" applyProtection="1">
      <alignment horizontal="left" vertical="center" wrapText="1"/>
      <protection hidden="1"/>
    </xf>
    <xf numFmtId="0" fontId="6" fillId="0" borderId="54" xfId="0" applyFont="1" applyBorder="1" applyAlignment="1" applyProtection="1">
      <alignment horizontal="left" vertical="center" wrapText="1"/>
      <protection hidden="1"/>
    </xf>
    <xf numFmtId="0" fontId="4" fillId="6" borderId="0" xfId="0" applyFont="1" applyFill="1" applyAlignment="1" applyProtection="1">
      <alignment horizontal="center" vertical="center" wrapText="1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0" fontId="37" fillId="0" borderId="25" xfId="0" applyFont="1" applyBorder="1" applyAlignment="1" applyProtection="1">
      <alignment horizontal="left" vertical="center" wrapText="1"/>
      <protection hidden="1"/>
    </xf>
    <xf numFmtId="0" fontId="37" fillId="0" borderId="53" xfId="0" applyFont="1" applyBorder="1" applyAlignment="1" applyProtection="1">
      <alignment horizontal="left" vertical="center" wrapText="1"/>
      <protection hidden="1"/>
    </xf>
    <xf numFmtId="0" fontId="6" fillId="0" borderId="47" xfId="0" applyFont="1" applyBorder="1" applyAlignment="1" applyProtection="1">
      <alignment horizontal="center" vertical="center" wrapText="1"/>
      <protection hidden="1"/>
    </xf>
    <xf numFmtId="0" fontId="6" fillId="0" borderId="48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23" fillId="7" borderId="1" xfId="0" applyFont="1" applyFill="1" applyBorder="1" applyAlignment="1" applyProtection="1">
      <alignment horizontal="center" vertical="center" wrapText="1"/>
      <protection hidden="1"/>
    </xf>
    <xf numFmtId="0" fontId="23" fillId="7" borderId="4" xfId="0" applyFont="1" applyFill="1" applyBorder="1" applyAlignment="1" applyProtection="1">
      <alignment horizontal="center" vertical="center" wrapText="1"/>
      <protection hidden="1"/>
    </xf>
    <xf numFmtId="0" fontId="23" fillId="7" borderId="15" xfId="0" applyFont="1" applyFill="1" applyBorder="1" applyAlignment="1" applyProtection="1">
      <alignment horizontal="center" vertical="center" wrapText="1"/>
      <protection hidden="1"/>
    </xf>
    <xf numFmtId="0" fontId="23" fillId="7" borderId="14" xfId="0" applyFont="1" applyFill="1" applyBorder="1" applyAlignment="1" applyProtection="1">
      <alignment horizontal="center" vertical="center" wrapText="1"/>
      <protection hidden="1"/>
    </xf>
    <xf numFmtId="0" fontId="23" fillId="7" borderId="15" xfId="0" applyFont="1" applyFill="1" applyBorder="1" applyAlignment="1" applyProtection="1">
      <alignment horizontal="justify" vertical="center" wrapText="1"/>
      <protection hidden="1"/>
    </xf>
    <xf numFmtId="0" fontId="23" fillId="7" borderId="42" xfId="0" applyFont="1" applyFill="1" applyBorder="1" applyAlignment="1" applyProtection="1">
      <alignment horizontal="justify" vertical="center" wrapText="1"/>
      <protection hidden="1"/>
    </xf>
    <xf numFmtId="0" fontId="23" fillId="7" borderId="14" xfId="0" applyFont="1" applyFill="1" applyBorder="1" applyAlignment="1" applyProtection="1">
      <alignment horizontal="justify" vertical="center" wrapText="1"/>
      <protection hidden="1"/>
    </xf>
    <xf numFmtId="0" fontId="11" fillId="2" borderId="15" xfId="0" applyFont="1" applyFill="1" applyBorder="1" applyAlignment="1" applyProtection="1">
      <alignment horizontal="center" vertical="center" wrapText="1"/>
      <protection hidden="1"/>
    </xf>
    <xf numFmtId="0" fontId="11" fillId="2" borderId="42" xfId="0" applyFont="1" applyFill="1" applyBorder="1" applyAlignment="1" applyProtection="1">
      <alignment horizontal="center" vertical="center" wrapText="1"/>
      <protection hidden="1"/>
    </xf>
    <xf numFmtId="0" fontId="11" fillId="2" borderId="14" xfId="0" applyFont="1" applyFill="1" applyBorder="1" applyAlignment="1" applyProtection="1">
      <alignment horizontal="center" vertical="center" wrapText="1"/>
      <protection hidden="1"/>
    </xf>
    <xf numFmtId="0" fontId="11" fillId="2" borderId="1" xfId="0" applyFont="1" applyFill="1" applyBorder="1" applyAlignment="1" applyProtection="1">
      <alignment horizontal="center" vertical="center" wrapText="1"/>
      <protection hidden="1"/>
    </xf>
    <xf numFmtId="0" fontId="11" fillId="2" borderId="2" xfId="0" applyFont="1" applyFill="1" applyBorder="1" applyAlignment="1" applyProtection="1">
      <alignment horizontal="center" vertical="center" wrapText="1"/>
      <protection hidden="1"/>
    </xf>
    <xf numFmtId="0" fontId="11" fillId="2" borderId="4" xfId="0" applyFont="1" applyFill="1" applyBorder="1" applyAlignment="1" applyProtection="1">
      <alignment horizontal="center" vertical="center" wrapText="1"/>
      <protection hidden="1"/>
    </xf>
  </cellXfs>
  <cellStyles count="1">
    <cellStyle name="Обычный" xfId="0" builtinId="0"/>
  </cellStyles>
  <dxfs count="2">
    <dxf>
      <fill>
        <patternFill>
          <bgColor theme="6" tint="0.59996337778862885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K22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22" fmlaLink="$K$13" fmlaRange="Таблицы!$B$38:$B$45" noThreeD="1" sel="1" val="0"/>
</file>

<file path=xl/ctrlProps/ctrlProp5.xml><?xml version="1.0" encoding="utf-8"?>
<formControlPr xmlns="http://schemas.microsoft.com/office/spreadsheetml/2009/9/main" objectType="CheckBox" fmlaLink="K22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22" fmlaLink="$K$13" fmlaRange="Таблицы!$B$38:$B$45" noThreeD="1" sel="1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171450</xdr:rowOff>
        </xdr:from>
        <xdr:to>
          <xdr:col>4</xdr:col>
          <xdr:colOff>638175</xdr:colOff>
          <xdr:row>22</xdr:row>
          <xdr:rowOff>19050</xdr:rowOff>
        </xdr:to>
        <xdr:sp macro="" textlink="">
          <xdr:nvSpPr>
            <xdr:cNvPr id="44033" name="Check Box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0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Заделан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0</xdr:rowOff>
        </xdr:from>
        <xdr:to>
          <xdr:col>2</xdr:col>
          <xdr:colOff>3829050</xdr:colOff>
          <xdr:row>3</xdr:row>
          <xdr:rowOff>180975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0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Добавить слой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8</xdr:col>
          <xdr:colOff>762000</xdr:colOff>
          <xdr:row>3</xdr:row>
          <xdr:rowOff>180975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0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Удалить слой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22410</xdr:colOff>
      <xdr:row>0</xdr:row>
      <xdr:rowOff>134471</xdr:rowOff>
    </xdr:from>
    <xdr:to>
      <xdr:col>35</xdr:col>
      <xdr:colOff>33618</xdr:colOff>
      <xdr:row>3</xdr:row>
      <xdr:rowOff>190499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34498" y="134471"/>
          <a:ext cx="851648" cy="8628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9525</xdr:rowOff>
        </xdr:from>
        <xdr:to>
          <xdr:col>8</xdr:col>
          <xdr:colOff>742950</xdr:colOff>
          <xdr:row>13</xdr:row>
          <xdr:rowOff>0</xdr:rowOff>
        </xdr:to>
        <xdr:sp macro="" textlink="">
          <xdr:nvSpPr>
            <xdr:cNvPr id="44036" name="Drop Dow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0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35</xdr:col>
      <xdr:colOff>11205</xdr:colOff>
      <xdr:row>1</xdr:row>
      <xdr:rowOff>22412</xdr:rowOff>
    </xdr:from>
    <xdr:to>
      <xdr:col>41</xdr:col>
      <xdr:colOff>295274</xdr:colOff>
      <xdr:row>29</xdr:row>
      <xdr:rowOff>7285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E7163FA2-BA0F-7A4C-C14E-38F295253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39617" y="257736"/>
          <a:ext cx="3914775" cy="65627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171450</xdr:rowOff>
        </xdr:from>
        <xdr:to>
          <xdr:col>4</xdr:col>
          <xdr:colOff>638175</xdr:colOff>
          <xdr:row>22</xdr:row>
          <xdr:rowOff>19050</xdr:rowOff>
        </xdr:to>
        <xdr:sp macro="" textlink="">
          <xdr:nvSpPr>
            <xdr:cNvPr id="47105" name="Check Box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Заделан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0</xdr:rowOff>
        </xdr:from>
        <xdr:to>
          <xdr:col>2</xdr:col>
          <xdr:colOff>3829050</xdr:colOff>
          <xdr:row>3</xdr:row>
          <xdr:rowOff>180975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1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Добавить слой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8</xdr:col>
          <xdr:colOff>762000</xdr:colOff>
          <xdr:row>3</xdr:row>
          <xdr:rowOff>180975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1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Удалить слой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22410</xdr:colOff>
      <xdr:row>0</xdr:row>
      <xdr:rowOff>134471</xdr:rowOff>
    </xdr:from>
    <xdr:to>
      <xdr:col>35</xdr:col>
      <xdr:colOff>33618</xdr:colOff>
      <xdr:row>3</xdr:row>
      <xdr:rowOff>190499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5375" y="134471"/>
          <a:ext cx="852768" cy="86565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9525</xdr:rowOff>
        </xdr:from>
        <xdr:to>
          <xdr:col>8</xdr:col>
          <xdr:colOff>742950</xdr:colOff>
          <xdr:row>13</xdr:row>
          <xdr:rowOff>0</xdr:rowOff>
        </xdr:to>
        <xdr:sp macro="" textlink="">
          <xdr:nvSpPr>
            <xdr:cNvPr id="47108" name="Drop Dow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1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35</xdr:col>
      <xdr:colOff>33617</xdr:colOff>
      <xdr:row>1</xdr:row>
      <xdr:rowOff>11205</xdr:rowOff>
    </xdr:from>
    <xdr:to>
      <xdr:col>40</xdr:col>
      <xdr:colOff>332254</xdr:colOff>
      <xdr:row>28</xdr:row>
      <xdr:rowOff>382120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57AF0E70-8E33-0E3E-FABC-7E0D257D7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62029" y="246529"/>
          <a:ext cx="3324225" cy="6534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13</xdr:row>
      <xdr:rowOff>47625</xdr:rowOff>
    </xdr:from>
    <xdr:to>
      <xdr:col>10</xdr:col>
      <xdr:colOff>263279</xdr:colOff>
      <xdr:row>30</xdr:row>
      <xdr:rowOff>9525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246C7D8F-C3A2-9684-AEA5-0A8E8CE8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" y="2647950"/>
          <a:ext cx="4844804" cy="3200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F98AB-F285-4E79-9FCD-DB1C210BDB1F}">
  <sheetPr codeName="Лист21">
    <outlinePr summaryBelow="0"/>
    <pageSetUpPr fitToPage="1"/>
  </sheetPr>
  <dimension ref="B1:AH52"/>
  <sheetViews>
    <sheetView tabSelected="1" zoomScale="85" zoomScaleNormal="85" workbookViewId="0">
      <selection activeCell="AI8" sqref="AI8"/>
    </sheetView>
  </sheetViews>
  <sheetFormatPr defaultRowHeight="15" outlineLevelRow="1" x14ac:dyDescent="0.25"/>
  <cols>
    <col min="1" max="1" width="2.7109375" style="12" customWidth="1"/>
    <col min="2" max="2" width="7.7109375" style="12" customWidth="1"/>
    <col min="3" max="3" width="57.7109375" style="36" customWidth="1"/>
    <col min="4" max="9" width="11.42578125" style="12" customWidth="1"/>
    <col min="10" max="10" width="1.5703125" style="12" hidden="1" customWidth="1"/>
    <col min="11" max="12" width="9.140625" style="12" hidden="1" customWidth="1"/>
    <col min="13" max="13" width="11" style="12" hidden="1" customWidth="1"/>
    <col min="14" max="14" width="7.85546875" style="12" hidden="1" customWidth="1"/>
    <col min="15" max="15" width="1.7109375" style="12" hidden="1" customWidth="1"/>
    <col min="16" max="19" width="9.140625" style="12" hidden="1" customWidth="1"/>
    <col min="20" max="20" width="1.5703125" style="12" hidden="1" customWidth="1"/>
    <col min="21" max="24" width="9.140625" style="12" hidden="1" customWidth="1"/>
    <col min="25" max="25" width="1.5703125" style="12" hidden="1" customWidth="1"/>
    <col min="26" max="29" width="9.140625" style="12" hidden="1" customWidth="1"/>
    <col min="30" max="30" width="1.7109375" style="12" hidden="1" customWidth="1"/>
    <col min="31" max="34" width="9.140625" style="12" hidden="1" customWidth="1"/>
    <col min="35" max="35" width="12.28515625" style="12" customWidth="1"/>
    <col min="36" max="16384" width="9.140625" style="12"/>
  </cols>
  <sheetData>
    <row r="1" spans="2:34" ht="18.75" x14ac:dyDescent="0.25">
      <c r="B1" s="197" t="s">
        <v>145</v>
      </c>
      <c r="C1" s="197"/>
      <c r="D1" s="197"/>
      <c r="E1" s="197"/>
      <c r="F1" s="197"/>
      <c r="G1" s="197"/>
      <c r="H1" s="197"/>
      <c r="I1" s="197"/>
    </row>
    <row r="2" spans="2:34" ht="30" customHeight="1" x14ac:dyDescent="0.25">
      <c r="B2" s="196" t="s">
        <v>144</v>
      </c>
      <c r="C2" s="196"/>
      <c r="D2" s="196"/>
      <c r="E2" s="196"/>
      <c r="F2" s="196"/>
      <c r="G2" s="196"/>
      <c r="H2" s="196"/>
      <c r="I2" s="196"/>
    </row>
    <row r="3" spans="2:34" x14ac:dyDescent="0.25">
      <c r="C3" s="37"/>
      <c r="D3" s="153" t="s">
        <v>139</v>
      </c>
      <c r="E3" s="153"/>
      <c r="F3" s="153"/>
      <c r="G3" s="153"/>
    </row>
    <row r="4" spans="2:34" ht="15.75" thickBot="1" x14ac:dyDescent="0.3">
      <c r="C4" s="37"/>
      <c r="D4" s="153" t="s">
        <v>140</v>
      </c>
      <c r="E4" s="153"/>
      <c r="F4" s="153"/>
      <c r="G4" s="153"/>
    </row>
    <row r="5" spans="2:34" ht="60.75" thickBot="1" x14ac:dyDescent="0.3">
      <c r="B5" s="39" t="s">
        <v>46</v>
      </c>
      <c r="C5" s="40" t="s">
        <v>45</v>
      </c>
      <c r="D5" s="41" t="s">
        <v>42</v>
      </c>
      <c r="E5" s="41" t="s">
        <v>43</v>
      </c>
      <c r="F5" s="41" t="s">
        <v>31</v>
      </c>
      <c r="G5" s="41" t="s">
        <v>97</v>
      </c>
      <c r="H5" s="42" t="s">
        <v>44</v>
      </c>
      <c r="I5" s="43" t="s">
        <v>101</v>
      </c>
    </row>
    <row r="6" spans="2:34" ht="15.75" thickBot="1" x14ac:dyDescent="0.3">
      <c r="B6" s="44">
        <v>1</v>
      </c>
      <c r="C6" s="87" t="s">
        <v>160</v>
      </c>
      <c r="D6" s="52">
        <v>6.26</v>
      </c>
      <c r="E6" s="45">
        <f>SUM($D$6:D6)-D6/2</f>
        <v>3.13</v>
      </c>
      <c r="F6" s="52">
        <v>0.55000000000000004</v>
      </c>
      <c r="G6" s="52">
        <v>0.43</v>
      </c>
      <c r="H6" s="45">
        <f>IF(D6=0,0,AB6)</f>
        <v>17.259999999999994</v>
      </c>
      <c r="I6" s="46">
        <f>D6*G6*H6</f>
        <v>46.460467999999977</v>
      </c>
      <c r="K6" s="18" t="s">
        <v>26</v>
      </c>
      <c r="L6" s="150" t="s">
        <v>31</v>
      </c>
      <c r="M6" s="151"/>
      <c r="N6" s="152"/>
      <c r="P6" s="19"/>
      <c r="Q6" s="20">
        <f>IF(R6&lt;=Таблицы!$M$6,Таблицы!$M$6,IF(R6&gt;=Таблицы!$U$6,Таблицы!$U$6,INDEX(Таблицы!$M$6:$U$6,,MATCH(R6,Таблицы!$M$6:$U$6,1))))</f>
        <v>0.5</v>
      </c>
      <c r="R6" s="21">
        <f t="shared" ref="R6:R7" si="0">F6</f>
        <v>0.55000000000000004</v>
      </c>
      <c r="S6" s="22">
        <f>IF(R6&lt;=Таблицы!$M$6,Таблицы!$M$6,IF(R6&gt;=Таблицы!$U$6,Таблицы!$U$6,IF(R6=Q6,R6,INDEX(Таблицы!$M$6:$U$6,,MATCH(R6,Таблицы!$M$6:$U$6,1)+1))))</f>
        <v>0.6</v>
      </c>
      <c r="U6" s="23">
        <f>IF(Z6&gt;=Таблицы!$L$19,Таблицы!$L$19,IF(Z6&lt;=Таблицы!$L$7,Таблицы!$L$7,INDEX(Таблицы!$L$7:$L$19,MATCH(Z6,Таблицы!$L$7:$L$19,1))))</f>
        <v>3</v>
      </c>
      <c r="V6" s="24">
        <f>INDEX(Таблицы!$M$7:$U$19,MATCH(U6,Таблицы!$L$7:$L$19),MATCH(Q6,Таблицы!$M$6:$U$6))</f>
        <v>20</v>
      </c>
      <c r="W6" s="25">
        <f t="shared" ref="W6:W7" si="1">IF(V6=X6,V6,(X6-V6)/(S6-Q6)*(R6-Q6)+V6)</f>
        <v>16.999999999999996</v>
      </c>
      <c r="X6" s="26">
        <f>INDEX(Таблицы!$M$7:$U$19,MATCH(U6,Таблицы!$L$7:$L$19),MATCH(S6,Таблицы!$M$6:$U$6))</f>
        <v>14</v>
      </c>
      <c r="Z6" s="27">
        <f t="shared" ref="Z6:Z7" si="2">E6</f>
        <v>3.13</v>
      </c>
      <c r="AA6" s="28">
        <f t="shared" ref="AA6:AA7" si="3">IF(V6=AF6,V6,(AF6-V6)/(AE6-U6)*(Z6-U6)+V6)</f>
        <v>20.259999999999998</v>
      </c>
      <c r="AB6" s="29">
        <f>IF(AA6=AC6,AA6,(AC6-AA6)/(S6-Q6)*(R6-Q6)+AA6)*IF(ISERR(FIND("плотный",C6,1)),1,1.3)*IF(ISERR(FIND("рыхлый",C6,1)),1,0.5)</f>
        <v>17.259999999999994</v>
      </c>
      <c r="AC6" s="30">
        <f>IF(X6=AH6,X6,(AH6-X6)/(AE6-U6)*(Z6-U6)+X6)</f>
        <v>14.26</v>
      </c>
      <c r="AE6" s="31">
        <f>IF(Z6&gt;=Таблицы!$L$19,Таблицы!$L$19,IF(Z6&lt;=Таблицы!$L$7,Таблицы!$L$7,IF(Z6=U6,Z6,INDEX(Таблицы!$L$7:$L$19,MATCH(Z6,Таблицы!$L$7:$L$19,1)+1))))</f>
        <v>4</v>
      </c>
      <c r="AF6" s="32">
        <f>INDEX(Таблицы!$M$7:$U$19,MATCH(AE6,Таблицы!$L$7:$L$19),MATCH(Q6,Таблицы!$M$6:$U$6))</f>
        <v>22</v>
      </c>
      <c r="AG6" s="33">
        <f t="shared" ref="AG6:AG7" si="4">IF(AF6=AH6,AF6,(AH6-AF6)/(S6-Q6)*(R6-Q6)+AF6)</f>
        <v>18.999999999999996</v>
      </c>
      <c r="AH6" s="34">
        <f>INDEX(Таблицы!$M$7:$U$19,MATCH(AE6,Таблицы!$L$7:$L$19),MATCH(S6,Таблицы!$M$6:$U$6))</f>
        <v>16</v>
      </c>
    </row>
    <row r="7" spans="2:34" ht="15.75" thickBot="1" x14ac:dyDescent="0.3">
      <c r="B7" s="47">
        <v>2</v>
      </c>
      <c r="C7" s="86" t="s">
        <v>161</v>
      </c>
      <c r="D7" s="53">
        <v>3.58</v>
      </c>
      <c r="E7" s="48">
        <f>SUM($D$6:D7)-D7/2</f>
        <v>8.0500000000000007</v>
      </c>
      <c r="F7" s="53">
        <v>0.36</v>
      </c>
      <c r="G7" s="53">
        <v>0.43</v>
      </c>
      <c r="H7" s="48">
        <f t="shared" ref="H7" si="5">IF(D7=0,0,AB7)</f>
        <v>37.435000000000002</v>
      </c>
      <c r="I7" s="49">
        <f t="shared" ref="I7" si="6">D7*G7*H7</f>
        <v>57.62743900000001</v>
      </c>
      <c r="K7" s="18" t="s">
        <v>26</v>
      </c>
      <c r="L7" s="150" t="s">
        <v>31</v>
      </c>
      <c r="M7" s="151"/>
      <c r="N7" s="152"/>
      <c r="P7" s="19"/>
      <c r="Q7" s="20">
        <f>IF(R7&lt;=Таблицы!$M$6,Таблицы!$M$6,IF(R7&gt;=Таблицы!$U$6,Таблицы!$U$6,INDEX(Таблицы!$M$6:$U$6,,MATCH(R7,Таблицы!$M$6:$U$6,1))))</f>
        <v>0.3</v>
      </c>
      <c r="R7" s="21">
        <f t="shared" si="0"/>
        <v>0.36</v>
      </c>
      <c r="S7" s="22">
        <f>IF(R7&lt;=Таблицы!$M$6,Таблицы!$M$6,IF(R7&gt;=Таблицы!$U$6,Таблицы!$U$6,IF(R7=Q7,R7,INDEX(Таблицы!$M$6:$U$6,,MATCH(R7,Таблицы!$M$6:$U$6,1)+1))))</f>
        <v>0.4</v>
      </c>
      <c r="U7" s="23">
        <f>IF(Z7&gt;=Таблицы!$L$19,Таблицы!$L$19,IF(Z7&lt;=Таблицы!$L$7,Таблицы!$L$7,INDEX(Таблицы!$L$7:$L$19,MATCH(Z7,Таблицы!$L$7:$L$19,1))))</f>
        <v>8</v>
      </c>
      <c r="V7" s="24">
        <f>INDEX(Таблицы!$M$7:$U$19,MATCH(U7,Таблицы!$L$7:$L$19),MATCH(Q7,Таблицы!$M$6:$U$6))</f>
        <v>44</v>
      </c>
      <c r="W7" s="25">
        <f t="shared" si="1"/>
        <v>37.400000000000006</v>
      </c>
      <c r="X7" s="26">
        <f>INDEX(Таблицы!$M$7:$U$19,MATCH(U7,Таблицы!$L$7:$L$19),MATCH(S7,Таблицы!$M$6:$U$6))</f>
        <v>33</v>
      </c>
      <c r="Z7" s="27">
        <f t="shared" si="2"/>
        <v>8.0500000000000007</v>
      </c>
      <c r="AA7" s="28">
        <f t="shared" si="3"/>
        <v>44.05</v>
      </c>
      <c r="AB7" s="29">
        <f>IF(AA7=AC7,AA7,(AC7-AA7)/(S7-Q7)*(R7-Q7)+AA7)*IF(ISERR(FIND("плотный",#REF!,1)),1,1.3)*IF(ISERR(FIND("рыхлый",#REF!,1)),1,0.5)</f>
        <v>37.435000000000002</v>
      </c>
      <c r="AC7" s="30">
        <f t="shared" ref="AC7" si="7">IF(X7=AH7,X7,(AH7-X7)/(AE7-U7)*(Z7-U7)+X7)</f>
        <v>33.024999999999999</v>
      </c>
      <c r="AE7" s="31">
        <f>IF(Z7&gt;=Таблицы!$L$19,Таблицы!$L$19,IF(Z7&lt;=Таблицы!$L$7,Таблицы!$L$7,IF(Z7=U7,Z7,INDEX(Таблицы!$L$7:$L$19,MATCH(Z7,Таблицы!$L$7:$L$19,1)+1))))</f>
        <v>10</v>
      </c>
      <c r="AF7" s="32">
        <f>INDEX(Таблицы!$M$7:$U$19,MATCH(AE7,Таблицы!$L$7:$L$19),MATCH(Q7,Таблицы!$M$6:$U$6))</f>
        <v>46</v>
      </c>
      <c r="AG7" s="33">
        <f t="shared" si="4"/>
        <v>38.800000000000004</v>
      </c>
      <c r="AH7" s="34">
        <f>INDEX(Таблицы!$M$7:$U$19,MATCH(AE7,Таблицы!$L$7:$L$19),MATCH(S7,Таблицы!$M$6:$U$6))</f>
        <v>34</v>
      </c>
    </row>
    <row r="8" spans="2:34" ht="15.75" thickBot="1" x14ac:dyDescent="0.3">
      <c r="C8" s="37"/>
      <c r="D8" s="35"/>
      <c r="E8" s="35"/>
      <c r="F8" s="35"/>
      <c r="I8" s="50">
        <f>SUM(I6:I7)</f>
        <v>104.08790699999999</v>
      </c>
    </row>
    <row r="9" spans="2:34" ht="5.25" customHeight="1" thickBot="1" x14ac:dyDescent="0.3">
      <c r="C9" s="37"/>
      <c r="E9" s="38"/>
      <c r="F9" s="35"/>
    </row>
    <row r="10" spans="2:34" ht="18" x14ac:dyDescent="0.25">
      <c r="B10" s="156" t="s">
        <v>99</v>
      </c>
      <c r="C10" s="157"/>
      <c r="D10" s="13" t="s">
        <v>1</v>
      </c>
      <c r="E10" s="119">
        <v>1</v>
      </c>
      <c r="F10" s="115"/>
      <c r="G10" s="164"/>
      <c r="H10" s="165"/>
      <c r="I10" s="166"/>
    </row>
    <row r="11" spans="2:34" ht="18" x14ac:dyDescent="0.25">
      <c r="B11" s="154" t="s">
        <v>100</v>
      </c>
      <c r="C11" s="155"/>
      <c r="D11" s="15" t="s">
        <v>1</v>
      </c>
      <c r="E11" s="120">
        <v>0.8</v>
      </c>
      <c r="F11" s="116"/>
      <c r="G11" s="161"/>
      <c r="H11" s="162"/>
      <c r="I11" s="163"/>
      <c r="N11" s="17"/>
    </row>
    <row r="12" spans="2:34" ht="18" x14ac:dyDescent="0.25">
      <c r="B12" s="154" t="s">
        <v>4</v>
      </c>
      <c r="C12" s="155"/>
      <c r="D12" s="15" t="s">
        <v>98</v>
      </c>
      <c r="E12" s="120">
        <v>0.5</v>
      </c>
      <c r="F12" s="116"/>
      <c r="G12" s="161"/>
      <c r="H12" s="162"/>
      <c r="I12" s="163"/>
    </row>
    <row r="13" spans="2:34" ht="20.25" customHeight="1" x14ac:dyDescent="0.25">
      <c r="B13" s="154" t="s">
        <v>137</v>
      </c>
      <c r="C13" s="155"/>
      <c r="D13" s="121"/>
      <c r="E13" s="122"/>
      <c r="F13" s="122"/>
      <c r="G13" s="158"/>
      <c r="H13" s="159"/>
      <c r="I13" s="160"/>
      <c r="K13" s="88">
        <v>1</v>
      </c>
      <c r="L13" s="12">
        <f>VLOOKUP(K13,Таблицы!H38:I45,2)</f>
        <v>1</v>
      </c>
    </row>
    <row r="14" spans="2:34" ht="15.75" thickBot="1" x14ac:dyDescent="0.3">
      <c r="B14" s="154" t="s">
        <v>142</v>
      </c>
      <c r="C14" s="155"/>
      <c r="D14" s="15" t="s">
        <v>2</v>
      </c>
      <c r="E14" s="123">
        <f>MIN(M18*L13,20000)</f>
        <v>3147.2000000000003</v>
      </c>
      <c r="F14" s="116" t="s">
        <v>3</v>
      </c>
      <c r="G14" s="200" t="s">
        <v>143</v>
      </c>
      <c r="H14" s="201"/>
      <c r="I14" s="202"/>
      <c r="K14" s="149" t="s">
        <v>32</v>
      </c>
      <c r="L14" s="149"/>
      <c r="M14" s="149"/>
      <c r="N14" s="149"/>
    </row>
    <row r="15" spans="2:34" x14ac:dyDescent="0.25">
      <c r="B15" s="170" t="s">
        <v>141</v>
      </c>
      <c r="C15" s="171"/>
      <c r="D15" s="124" t="s">
        <v>5</v>
      </c>
      <c r="E15" s="125">
        <f>E7+D7/2</f>
        <v>9.84</v>
      </c>
      <c r="F15" s="126" t="s">
        <v>7</v>
      </c>
      <c r="G15" s="161"/>
      <c r="H15" s="162"/>
      <c r="I15" s="163"/>
      <c r="K15" s="18" t="s">
        <v>26</v>
      </c>
      <c r="L15" s="150" t="s">
        <v>31</v>
      </c>
      <c r="M15" s="151"/>
      <c r="N15" s="152"/>
    </row>
    <row r="16" spans="2:34" ht="18.75" thickBot="1" x14ac:dyDescent="0.3">
      <c r="B16" s="170" t="s">
        <v>103</v>
      </c>
      <c r="C16" s="171"/>
      <c r="D16" s="124" t="s">
        <v>115</v>
      </c>
      <c r="E16" s="127">
        <v>4.43</v>
      </c>
      <c r="F16" s="126" t="s">
        <v>7</v>
      </c>
      <c r="G16" s="161"/>
      <c r="H16" s="162"/>
      <c r="I16" s="163"/>
      <c r="K16" s="19"/>
      <c r="L16" s="20">
        <f>IF(M16&lt;=Таблицы!$C$6,Таблицы!$C$6,IF(M16&gt;=Таблицы!$I$6,Таблицы!$I$6,INDEX(Таблицы!$C$6:$I$6,,MATCH(M16,Таблицы!$C$6:$I$6,1))))</f>
        <v>0.3</v>
      </c>
      <c r="M16" s="21">
        <f>E18</f>
        <v>0.36</v>
      </c>
      <c r="N16" s="22">
        <f>IF(M16&lt;=Таблицы!$C$6,$D$31,IF(M16&gt;=Таблицы!$I$6,Таблицы!$I$6,IF(M16=L16,M16,INDEX(Таблицы!$C$6:$I$6,,MATCH(M16,Таблицы!$C$6:$I$6,1)+1))))</f>
        <v>0.4</v>
      </c>
    </row>
    <row r="17" spans="2:14" ht="20.25" x14ac:dyDescent="0.25">
      <c r="B17" s="198" t="s">
        <v>114</v>
      </c>
      <c r="C17" s="199"/>
      <c r="D17" s="128" t="s">
        <v>124</v>
      </c>
      <c r="E17" s="129">
        <f>E15+E16</f>
        <v>14.27</v>
      </c>
      <c r="F17" s="130" t="s">
        <v>7</v>
      </c>
      <c r="G17" s="161"/>
      <c r="H17" s="162"/>
      <c r="I17" s="163"/>
      <c r="K17" s="23">
        <f>IF(K18&gt;=Таблицы!$B$16,Таблицы!$B$16,IF(K18&lt;=Таблицы!$B$7,Таблицы!$B$7,INDEX(Таблицы!$B$7:$B$16,MATCH(K18,Таблицы!$B$7:$B$16,1))))</f>
        <v>7</v>
      </c>
      <c r="L17" s="24">
        <f>INDEX(Таблицы!$C$7:$I$16,MATCH(K17,Таблицы!$B$7:$B$16),MATCH(L16,Таблицы!$C$6:$I$6))</f>
        <v>3700</v>
      </c>
      <c r="M17" s="25">
        <f>IF(L17=N17,L17,(N17-L17)/(N16-L16)*(M16-L16)+L17)</f>
        <v>2920</v>
      </c>
      <c r="N17" s="26">
        <f>INDEX(Таблицы!$C$7:$I$16,MATCH(K17,Таблицы!$B$7:$B$16),MATCH(N16,Таблицы!$C$6:$I$6))</f>
        <v>2400</v>
      </c>
    </row>
    <row r="18" spans="2:14" x14ac:dyDescent="0.25">
      <c r="B18" s="170" t="s">
        <v>50</v>
      </c>
      <c r="C18" s="171"/>
      <c r="D18" s="124"/>
      <c r="E18" s="127">
        <v>0.36</v>
      </c>
      <c r="F18" s="126"/>
      <c r="G18" s="161"/>
      <c r="H18" s="162"/>
      <c r="I18" s="163"/>
      <c r="K18" s="27">
        <f>E15</f>
        <v>9.84</v>
      </c>
      <c r="L18" s="28">
        <f>IF(L17=L19,L17,(L19-L17)/(K19-K17)*(K18-K17)+L17)</f>
        <v>3984</v>
      </c>
      <c r="M18" s="29">
        <f>IF(L18=N18,L18,(N18-L18)/(N16-L16)*(M16-L16)+L18)</f>
        <v>3147.2000000000003</v>
      </c>
      <c r="N18" s="30">
        <f>IF(N17=N19,N17,(N19-N17)/(K19-K17)*(K18-K17)+N17)</f>
        <v>2589.3333333333335</v>
      </c>
    </row>
    <row r="19" spans="2:14" ht="15.75" thickBot="1" x14ac:dyDescent="0.3">
      <c r="B19" s="170" t="s">
        <v>11</v>
      </c>
      <c r="C19" s="171"/>
      <c r="D19" s="124" t="s">
        <v>6</v>
      </c>
      <c r="E19" s="127">
        <v>0.63</v>
      </c>
      <c r="F19" s="126" t="s">
        <v>7</v>
      </c>
      <c r="G19" s="161"/>
      <c r="H19" s="162"/>
      <c r="I19" s="163"/>
      <c r="K19" s="31">
        <f>IF(K18&gt;=Таблицы!$B$16,Таблицы!$B$16,IF(K18&lt;=Таблицы!$B$7,Таблицы!$B$7,IF(K18=K17,K18,INDEX(Таблицы!$B$7:$B$16,MATCH(K18,Таблицы!$B$7:$B$16,1)+1))))</f>
        <v>10</v>
      </c>
      <c r="L19" s="32">
        <f>INDEX(Таблицы!$C$7:$I$17,MATCH(K19,Таблицы!$B$7:$B$16),MATCH(L16,Таблицы!$C$6:$I$6))</f>
        <v>4000</v>
      </c>
      <c r="M19" s="33">
        <f>IF(L19=N19,L19,(N19-L19)/(N16-L16)*(M16-L16)+L19)</f>
        <v>3160.0000000000005</v>
      </c>
      <c r="N19" s="34">
        <f>INDEX(Таблицы!$C$7:$I$16,MATCH(K19,Таблицы!$B$7:$B$16),MATCH(N16,Таблицы!$C$6:$I$6))</f>
        <v>2600</v>
      </c>
    </row>
    <row r="20" spans="2:14" x14ac:dyDescent="0.25">
      <c r="B20" s="170" t="s">
        <v>37</v>
      </c>
      <c r="C20" s="171"/>
      <c r="D20" s="124" t="s">
        <v>38</v>
      </c>
      <c r="E20" s="127">
        <v>10</v>
      </c>
      <c r="F20" s="126" t="s">
        <v>39</v>
      </c>
      <c r="G20" s="161"/>
      <c r="H20" s="162"/>
      <c r="I20" s="163"/>
    </row>
    <row r="21" spans="2:14" x14ac:dyDescent="0.25">
      <c r="B21" s="170" t="s">
        <v>13</v>
      </c>
      <c r="C21" s="171"/>
      <c r="D21" s="131"/>
      <c r="E21" s="132">
        <f>(((E16+E15)*(((3.14*E19^2)/4)-((3.14*(E19-2*E20/1000)^2)/4)))*7850)</f>
        <v>2180.7956260000046</v>
      </c>
      <c r="F21" s="126" t="s">
        <v>14</v>
      </c>
      <c r="G21" s="161"/>
      <c r="H21" s="162"/>
      <c r="I21" s="163"/>
    </row>
    <row r="22" spans="2:14" x14ac:dyDescent="0.25">
      <c r="B22" s="170" t="s">
        <v>41</v>
      </c>
      <c r="C22" s="171"/>
      <c r="D22" s="124"/>
      <c r="E22" s="133"/>
      <c r="F22" s="126"/>
      <c r="G22" s="161"/>
      <c r="H22" s="162"/>
      <c r="I22" s="163"/>
      <c r="K22" s="101" t="b">
        <v>0</v>
      </c>
    </row>
    <row r="23" spans="2:14" x14ac:dyDescent="0.25">
      <c r="B23" s="170" t="s">
        <v>138</v>
      </c>
      <c r="C23" s="171"/>
      <c r="D23" s="124" t="s">
        <v>8</v>
      </c>
      <c r="E23" s="134">
        <f>IF(K22=TRUE,(PI()*E19^2)/4,(PI()*E19^2)/4-(PI()*(E19-E20*2/1000)^2)/4)</f>
        <v>1.9477874452256738E-2</v>
      </c>
      <c r="F23" s="124" t="s">
        <v>7</v>
      </c>
      <c r="G23" s="161"/>
      <c r="H23" s="162"/>
      <c r="I23" s="163"/>
    </row>
    <row r="24" spans="2:14" x14ac:dyDescent="0.25">
      <c r="B24" s="170" t="s">
        <v>9</v>
      </c>
      <c r="C24" s="171"/>
      <c r="D24" s="124" t="s">
        <v>10</v>
      </c>
      <c r="E24" s="135">
        <f>PI()*E19</f>
        <v>1.9792033717615696</v>
      </c>
      <c r="F24" s="124" t="s">
        <v>7</v>
      </c>
      <c r="G24" s="161"/>
      <c r="H24" s="162"/>
      <c r="I24" s="163"/>
    </row>
    <row r="25" spans="2:14" ht="18.75" collapsed="1" thickBot="1" x14ac:dyDescent="0.3">
      <c r="B25" s="194" t="s">
        <v>49</v>
      </c>
      <c r="C25" s="195"/>
      <c r="D25" s="137" t="s">
        <v>40</v>
      </c>
      <c r="E25" s="138">
        <v>1.4</v>
      </c>
      <c r="F25" s="139"/>
      <c r="G25" s="172"/>
      <c r="H25" s="173"/>
      <c r="I25" s="174"/>
    </row>
    <row r="26" spans="2:14" ht="40.5" hidden="1" customHeight="1" outlineLevel="1" x14ac:dyDescent="0.25">
      <c r="B26" s="183" t="s">
        <v>96</v>
      </c>
      <c r="C26" s="184"/>
      <c r="D26" s="13" t="s">
        <v>0</v>
      </c>
      <c r="E26" s="14">
        <f>(E10*(E12*E14*E23+E24*I8)/9.80665)/E25-E21/1000</f>
        <v>15.056889278199545</v>
      </c>
      <c r="F26" s="13" t="s">
        <v>12</v>
      </c>
      <c r="G26" s="164" t="s">
        <v>102</v>
      </c>
      <c r="H26" s="165"/>
      <c r="I26" s="166"/>
    </row>
    <row r="27" spans="2:14" ht="29.25" customHeight="1" x14ac:dyDescent="0.25">
      <c r="B27" s="181" t="s">
        <v>146</v>
      </c>
      <c r="C27" s="182"/>
      <c r="D27" s="15" t="s">
        <v>148</v>
      </c>
      <c r="E27" s="16">
        <f>E10*(E12*E14*((PI()*E19^2)/4)+E24*I8)/9.80665</f>
        <v>71.027400647329699</v>
      </c>
      <c r="F27" s="15" t="s">
        <v>12</v>
      </c>
      <c r="G27" s="167" t="s">
        <v>150</v>
      </c>
      <c r="H27" s="168"/>
      <c r="I27" s="169"/>
    </row>
    <row r="28" spans="2:14" ht="29.25" customHeight="1" thickBot="1" x14ac:dyDescent="0.3">
      <c r="B28" s="179" t="s">
        <v>147</v>
      </c>
      <c r="C28" s="180"/>
      <c r="D28" s="140" t="s">
        <v>149</v>
      </c>
      <c r="E28" s="141">
        <f>E10*(E12*E14*E23+E24*I8+IF(K22=TRUE,0,PI()*(E19-2*E20/1000)*I8))/9.80665</f>
        <v>44.473150377234404</v>
      </c>
      <c r="F28" s="140" t="s">
        <v>12</v>
      </c>
      <c r="G28" s="191" t="s">
        <v>150</v>
      </c>
      <c r="H28" s="192"/>
      <c r="I28" s="193"/>
    </row>
    <row r="29" spans="2:14" ht="32.25" customHeight="1" x14ac:dyDescent="0.25">
      <c r="B29" s="156" t="s">
        <v>95</v>
      </c>
      <c r="C29" s="157"/>
      <c r="D29" s="145" t="s">
        <v>151</v>
      </c>
      <c r="E29" s="143">
        <f>MIN(E27,E28)/E25-E21/1000</f>
        <v>29.585740357738857</v>
      </c>
      <c r="F29" s="142" t="s">
        <v>12</v>
      </c>
      <c r="G29" s="188" t="s">
        <v>48</v>
      </c>
      <c r="H29" s="189"/>
      <c r="I29" s="190"/>
    </row>
    <row r="30" spans="2:14" x14ac:dyDescent="0.25">
      <c r="B30" s="154" t="str">
        <f>"- по площади основания"</f>
        <v>- по площади основания</v>
      </c>
      <c r="C30" s="155"/>
      <c r="D30" s="15"/>
      <c r="E30" s="136">
        <f>IF(E28&lt;=E27,(E10*(E12*E14*E23)/9.80665)/E25,(E10*(E12*E14*((PI()*E19^2)/4))/9.80665)/E25)</f>
        <v>2.2324780515605815</v>
      </c>
      <c r="F30" s="15" t="s">
        <v>12</v>
      </c>
      <c r="G30" s="161" t="s">
        <v>47</v>
      </c>
      <c r="H30" s="162"/>
      <c r="I30" s="163"/>
    </row>
    <row r="31" spans="2:14" ht="15.75" thickBot="1" x14ac:dyDescent="0.3">
      <c r="B31" s="177" t="str">
        <f>"- по боковой поверхности"</f>
        <v>- по боковой поверхности</v>
      </c>
      <c r="C31" s="178"/>
      <c r="D31" s="137"/>
      <c r="E31" s="144">
        <f>IF(E28&lt;=E27,(E10*(E24*I8+IF(K22=TRUE,0,3.14*(E19-2*E20/1000)*I8))/9.80665)/E25,(E10*(E24*I8)/9.80665)/E25)</f>
        <v>29.526692423858496</v>
      </c>
      <c r="F31" s="137" t="s">
        <v>12</v>
      </c>
      <c r="G31" s="172" t="s">
        <v>47</v>
      </c>
      <c r="H31" s="173"/>
      <c r="I31" s="174"/>
    </row>
    <row r="32" spans="2:14" ht="32.25" customHeight="1" thickBot="1" x14ac:dyDescent="0.3">
      <c r="B32" s="175" t="s">
        <v>94</v>
      </c>
      <c r="C32" s="176"/>
      <c r="D32" s="146" t="s">
        <v>152</v>
      </c>
      <c r="E32" s="118">
        <f>(E11*E24*I8/9.80665)/E25+E21/1000</f>
        <v>14.184961108111178</v>
      </c>
      <c r="F32" s="117" t="s">
        <v>12</v>
      </c>
      <c r="G32" s="185" t="s">
        <v>93</v>
      </c>
      <c r="H32" s="186"/>
      <c r="I32" s="187"/>
    </row>
    <row r="44" spans="3:3" x14ac:dyDescent="0.25">
      <c r="C44" s="12"/>
    </row>
    <row r="45" spans="3:3" x14ac:dyDescent="0.25">
      <c r="C45" s="12"/>
    </row>
    <row r="46" spans="3:3" x14ac:dyDescent="0.25">
      <c r="C46" s="12"/>
    </row>
    <row r="47" spans="3:3" x14ac:dyDescent="0.25">
      <c r="C47" s="12"/>
    </row>
    <row r="48" spans="3:3" x14ac:dyDescent="0.25">
      <c r="C48" s="12"/>
    </row>
    <row r="49" spans="3:3" x14ac:dyDescent="0.25">
      <c r="C49" s="12"/>
    </row>
    <row r="50" spans="3:3" x14ac:dyDescent="0.25">
      <c r="C50" s="12"/>
    </row>
    <row r="51" spans="3:3" x14ac:dyDescent="0.25">
      <c r="C51" s="51"/>
    </row>
    <row r="52" spans="3:3" x14ac:dyDescent="0.25">
      <c r="C52" s="51"/>
    </row>
  </sheetData>
  <sheetProtection algorithmName="SHA-512" hashValue="AAc1i4Jlo2QozURCa9F7zsLDSE5w/RgCg9LbAzrvYxsaV45glm1rVrCzLhz+3NoEHZ8oEZHQytyynm+H+FlMcA==" saltValue="NGRj3o1qnuOP3jK4BhyM1w==" spinCount="100000" sheet="1" scenarios="1" autoFilter="0"/>
  <mergeCells count="54">
    <mergeCell ref="B2:I2"/>
    <mergeCell ref="D4:G4"/>
    <mergeCell ref="B1:I1"/>
    <mergeCell ref="B19:C19"/>
    <mergeCell ref="B18:C18"/>
    <mergeCell ref="B17:C17"/>
    <mergeCell ref="B16:C16"/>
    <mergeCell ref="B15:C15"/>
    <mergeCell ref="B14:C14"/>
    <mergeCell ref="G16:I16"/>
    <mergeCell ref="G15:I15"/>
    <mergeCell ref="G14:I14"/>
    <mergeCell ref="G19:I19"/>
    <mergeCell ref="G18:I18"/>
    <mergeCell ref="G17:I17"/>
    <mergeCell ref="B25:C25"/>
    <mergeCell ref="B24:C24"/>
    <mergeCell ref="B23:C23"/>
    <mergeCell ref="B22:C22"/>
    <mergeCell ref="B21:C21"/>
    <mergeCell ref="B20:C20"/>
    <mergeCell ref="G25:I25"/>
    <mergeCell ref="G24:I24"/>
    <mergeCell ref="G23:I23"/>
    <mergeCell ref="B32:C32"/>
    <mergeCell ref="B31:C31"/>
    <mergeCell ref="B30:C30"/>
    <mergeCell ref="B29:C29"/>
    <mergeCell ref="B28:C28"/>
    <mergeCell ref="B27:C27"/>
    <mergeCell ref="B26:C26"/>
    <mergeCell ref="G32:I32"/>
    <mergeCell ref="G31:I31"/>
    <mergeCell ref="G30:I30"/>
    <mergeCell ref="G29:I29"/>
    <mergeCell ref="G28:I28"/>
    <mergeCell ref="G27:I27"/>
    <mergeCell ref="G26:I26"/>
    <mergeCell ref="G22:I22"/>
    <mergeCell ref="G21:I21"/>
    <mergeCell ref="G20:I20"/>
    <mergeCell ref="K14:N14"/>
    <mergeCell ref="L15:N15"/>
    <mergeCell ref="D3:G3"/>
    <mergeCell ref="L6:N6"/>
    <mergeCell ref="B13:C13"/>
    <mergeCell ref="B12:C12"/>
    <mergeCell ref="B11:C11"/>
    <mergeCell ref="B10:C10"/>
    <mergeCell ref="L7:N7"/>
    <mergeCell ref="G13:I13"/>
    <mergeCell ref="G12:I12"/>
    <mergeCell ref="G11:I11"/>
    <mergeCell ref="G10:I10"/>
  </mergeCells>
  <pageMargins left="0.7" right="0.7" top="0.75" bottom="0.75" header="0.3" footer="0.3"/>
  <pageSetup paperSize="9" scale="62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Check Box 1">
              <controlPr defaultSize="0" autoFill="0" autoLine="0" autoPict="0">
                <anchor moveWithCells="1">
                  <from>
                    <xdr:col>4</xdr:col>
                    <xdr:colOff>28575</xdr:colOff>
                    <xdr:row>20</xdr:row>
                    <xdr:rowOff>171450</xdr:rowOff>
                  </from>
                  <to>
                    <xdr:col>4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Добавка_слоя">
                <anchor moveWithCells="1" sizeWithCells="1">
                  <from>
                    <xdr:col>1</xdr:col>
                    <xdr:colOff>9525</xdr:colOff>
                    <xdr:row>2</xdr:row>
                    <xdr:rowOff>0</xdr:rowOff>
                  </from>
                  <to>
                    <xdr:col>2</xdr:col>
                    <xdr:colOff>3829050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Удаление_слоя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8</xdr:col>
                    <xdr:colOff>762000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Drop Down 4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9525</xdr:rowOff>
                  </from>
                  <to>
                    <xdr:col>8</xdr:col>
                    <xdr:colOff>742950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CF32A-DA7B-4476-BFF2-01C26B440DD9}">
  <sheetPr codeName="Лист22">
    <outlinePr summaryBelow="0"/>
    <pageSetUpPr fitToPage="1"/>
  </sheetPr>
  <dimension ref="B1:AH52"/>
  <sheetViews>
    <sheetView zoomScale="85" zoomScaleNormal="85" workbookViewId="0">
      <selection activeCell="AI5" sqref="AI5"/>
    </sheetView>
  </sheetViews>
  <sheetFormatPr defaultRowHeight="15" outlineLevelRow="1" x14ac:dyDescent="0.25"/>
  <cols>
    <col min="1" max="1" width="2.7109375" style="12" customWidth="1"/>
    <col min="2" max="2" width="7.7109375" style="12" customWidth="1"/>
    <col min="3" max="3" width="57.7109375" style="36" customWidth="1"/>
    <col min="4" max="9" width="11.42578125" style="12" customWidth="1"/>
    <col min="10" max="10" width="1.5703125" style="12" hidden="1" customWidth="1"/>
    <col min="11" max="12" width="9.140625" style="12" hidden="1" customWidth="1"/>
    <col min="13" max="13" width="11" style="12" hidden="1" customWidth="1"/>
    <col min="14" max="14" width="7.85546875" style="12" hidden="1" customWidth="1"/>
    <col min="15" max="15" width="1.7109375" style="12" hidden="1" customWidth="1"/>
    <col min="16" max="19" width="9.140625" style="12" hidden="1" customWidth="1"/>
    <col min="20" max="20" width="1.5703125" style="12" hidden="1" customWidth="1"/>
    <col min="21" max="24" width="9.140625" style="12" hidden="1" customWidth="1"/>
    <col min="25" max="25" width="1.5703125" style="12" hidden="1" customWidth="1"/>
    <col min="26" max="29" width="9.140625" style="12" hidden="1" customWidth="1"/>
    <col min="30" max="30" width="1.7109375" style="12" hidden="1" customWidth="1"/>
    <col min="31" max="34" width="9.140625" style="12" hidden="1" customWidth="1"/>
    <col min="35" max="35" width="12.28515625" style="12" customWidth="1"/>
    <col min="36" max="16384" width="9.140625" style="12"/>
  </cols>
  <sheetData>
    <row r="1" spans="2:34" ht="18.75" x14ac:dyDescent="0.25">
      <c r="B1" s="197" t="s">
        <v>145</v>
      </c>
      <c r="C1" s="197"/>
      <c r="D1" s="197"/>
      <c r="E1" s="197"/>
      <c r="F1" s="197"/>
      <c r="G1" s="197"/>
      <c r="H1" s="197"/>
      <c r="I1" s="197"/>
    </row>
    <row r="2" spans="2:34" ht="30" customHeight="1" x14ac:dyDescent="0.25">
      <c r="B2" s="196" t="s">
        <v>144</v>
      </c>
      <c r="C2" s="196"/>
      <c r="D2" s="196"/>
      <c r="E2" s="196"/>
      <c r="F2" s="196"/>
      <c r="G2" s="196"/>
      <c r="H2" s="196"/>
      <c r="I2" s="196"/>
    </row>
    <row r="3" spans="2:34" x14ac:dyDescent="0.25">
      <c r="C3" s="37"/>
      <c r="D3" s="153" t="s">
        <v>139</v>
      </c>
      <c r="E3" s="153"/>
      <c r="F3" s="153"/>
      <c r="G3" s="153"/>
    </row>
    <row r="4" spans="2:34" ht="15.75" thickBot="1" x14ac:dyDescent="0.3">
      <c r="C4" s="37"/>
      <c r="D4" s="153" t="s">
        <v>140</v>
      </c>
      <c r="E4" s="153"/>
      <c r="F4" s="153"/>
      <c r="G4" s="153"/>
    </row>
    <row r="5" spans="2:34" ht="60.75" thickBot="1" x14ac:dyDescent="0.3">
      <c r="B5" s="39" t="s">
        <v>46</v>
      </c>
      <c r="C5" s="40" t="s">
        <v>45</v>
      </c>
      <c r="D5" s="41" t="s">
        <v>42</v>
      </c>
      <c r="E5" s="41" t="s">
        <v>43</v>
      </c>
      <c r="F5" s="41" t="s">
        <v>31</v>
      </c>
      <c r="G5" s="41" t="s">
        <v>97</v>
      </c>
      <c r="H5" s="42" t="s">
        <v>44</v>
      </c>
      <c r="I5" s="43" t="s">
        <v>101</v>
      </c>
    </row>
    <row r="6" spans="2:34" ht="15.75" thickBot="1" x14ac:dyDescent="0.3">
      <c r="B6" s="44">
        <v>1</v>
      </c>
      <c r="C6" s="87" t="s">
        <v>162</v>
      </c>
      <c r="D6" s="52">
        <v>7.97</v>
      </c>
      <c r="E6" s="45">
        <f>SUM($D$6:D6)-D6/2</f>
        <v>3.9849999999999999</v>
      </c>
      <c r="F6" s="52">
        <v>0.55000000000000004</v>
      </c>
      <c r="G6" s="52">
        <v>0.43</v>
      </c>
      <c r="H6" s="45">
        <f>IF(D6=0,0,AB6)</f>
        <v>18.969999999999995</v>
      </c>
      <c r="I6" s="46">
        <f>D6*G6*H6</f>
        <v>65.01208699999998</v>
      </c>
      <c r="K6" s="18" t="s">
        <v>26</v>
      </c>
      <c r="L6" s="150" t="s">
        <v>31</v>
      </c>
      <c r="M6" s="151"/>
      <c r="N6" s="152"/>
      <c r="P6" s="19"/>
      <c r="Q6" s="20">
        <f>IF(R6&lt;=Таблицы!$M$6,Таблицы!$M$6,IF(R6&gt;=Таблицы!$U$6,Таблицы!$U$6,INDEX(Таблицы!$M$6:$U$6,,MATCH(R6,Таблицы!$M$6:$U$6,1))))</f>
        <v>0.5</v>
      </c>
      <c r="R6" s="21">
        <f t="shared" ref="R6:R7" si="0">F6</f>
        <v>0.55000000000000004</v>
      </c>
      <c r="S6" s="22">
        <f>IF(R6&lt;=Таблицы!$M$6,Таблицы!$M$6,IF(R6&gt;=Таблицы!$U$6,Таблицы!$U$6,IF(R6=Q6,R6,INDEX(Таблицы!$M$6:$U$6,,MATCH(R6,Таблицы!$M$6:$U$6,1)+1))))</f>
        <v>0.6</v>
      </c>
      <c r="U6" s="23">
        <f>IF(Z6&gt;=Таблицы!$L$19,Таблицы!$L$19,IF(Z6&lt;=Таблицы!$L$7,Таблицы!$L$7,INDEX(Таблицы!$L$7:$L$19,MATCH(Z6,Таблицы!$L$7:$L$19,1))))</f>
        <v>3</v>
      </c>
      <c r="V6" s="24">
        <f>INDEX(Таблицы!$M$7:$U$19,MATCH(U6,Таблицы!$L$7:$L$19),MATCH(Q6,Таблицы!$M$6:$U$6))</f>
        <v>20</v>
      </c>
      <c r="W6" s="25">
        <f t="shared" ref="W6:W7" si="1">IF(V6=X6,V6,(X6-V6)/(S6-Q6)*(R6-Q6)+V6)</f>
        <v>16.999999999999996</v>
      </c>
      <c r="X6" s="26">
        <f>INDEX(Таблицы!$M$7:$U$19,MATCH(U6,Таблицы!$L$7:$L$19),MATCH(S6,Таблицы!$M$6:$U$6))</f>
        <v>14</v>
      </c>
      <c r="Z6" s="27">
        <f t="shared" ref="Z6:Z7" si="2">E6</f>
        <v>3.9849999999999999</v>
      </c>
      <c r="AA6" s="28">
        <f t="shared" ref="AA6:AA7" si="3">IF(V6=AF6,V6,(AF6-V6)/(AE6-U6)*(Z6-U6)+V6)</f>
        <v>21.97</v>
      </c>
      <c r="AB6" s="29">
        <f>IF(AA6=AC6,AA6,(AC6-AA6)/(S6-Q6)*(R6-Q6)+AA6)*IF(ISERR(FIND("плотный",C6,1)),1,1.3)*IF(ISERR(FIND("рыхлый",C6,1)),1,0.5)</f>
        <v>18.969999999999995</v>
      </c>
      <c r="AC6" s="30">
        <f>IF(X6=AH6,X6,(AH6-X6)/(AE6-U6)*(Z6-U6)+X6)</f>
        <v>15.969999999999999</v>
      </c>
      <c r="AE6" s="31">
        <f>IF(Z6&gt;=Таблицы!$L$19,Таблицы!$L$19,IF(Z6&lt;=Таблицы!$L$7,Таблицы!$L$7,IF(Z6=U6,Z6,INDEX(Таблицы!$L$7:$L$19,MATCH(Z6,Таблицы!$L$7:$L$19,1)+1))))</f>
        <v>4</v>
      </c>
      <c r="AF6" s="32">
        <f>INDEX(Таблицы!$M$7:$U$19,MATCH(AE6,Таблицы!$L$7:$L$19),MATCH(Q6,Таблицы!$M$6:$U$6))</f>
        <v>22</v>
      </c>
      <c r="AG6" s="33">
        <f t="shared" ref="AG6:AG7" si="4">IF(AF6=AH6,AF6,(AH6-AF6)/(S6-Q6)*(R6-Q6)+AF6)</f>
        <v>18.999999999999996</v>
      </c>
      <c r="AH6" s="34">
        <f>INDEX(Таблицы!$M$7:$U$19,MATCH(AE6,Таблицы!$L$7:$L$19),MATCH(S6,Таблицы!$M$6:$U$6))</f>
        <v>16</v>
      </c>
    </row>
    <row r="7" spans="2:34" ht="15.75" thickBot="1" x14ac:dyDescent="0.3">
      <c r="B7" s="47">
        <v>2</v>
      </c>
      <c r="C7" s="86" t="s">
        <v>163</v>
      </c>
      <c r="D7" s="53">
        <v>3.22</v>
      </c>
      <c r="E7" s="48">
        <f>SUM($D$6:D7)-D7/2</f>
        <v>9.58</v>
      </c>
      <c r="F7" s="53">
        <v>0.36</v>
      </c>
      <c r="G7" s="53">
        <v>0.43</v>
      </c>
      <c r="H7" s="48">
        <f t="shared" ref="H7" si="5">IF(D7=0,0,AB7)</f>
        <v>38.506</v>
      </c>
      <c r="I7" s="49">
        <f t="shared" ref="I7" si="6">D7*G7*H7</f>
        <v>53.3154076</v>
      </c>
      <c r="K7" s="18" t="s">
        <v>26</v>
      </c>
      <c r="L7" s="150" t="s">
        <v>31</v>
      </c>
      <c r="M7" s="151"/>
      <c r="N7" s="152"/>
      <c r="P7" s="19"/>
      <c r="Q7" s="20">
        <f>IF(R7&lt;=Таблицы!$M$6,Таблицы!$M$6,IF(R7&gt;=Таблицы!$U$6,Таблицы!$U$6,INDEX(Таблицы!$M$6:$U$6,,MATCH(R7,Таблицы!$M$6:$U$6,1))))</f>
        <v>0.3</v>
      </c>
      <c r="R7" s="21">
        <f t="shared" si="0"/>
        <v>0.36</v>
      </c>
      <c r="S7" s="22">
        <f>IF(R7&lt;=Таблицы!$M$6,Таблицы!$M$6,IF(R7&gt;=Таблицы!$U$6,Таблицы!$U$6,IF(R7=Q7,R7,INDEX(Таблицы!$M$6:$U$6,,MATCH(R7,Таблицы!$M$6:$U$6,1)+1))))</f>
        <v>0.4</v>
      </c>
      <c r="U7" s="23">
        <f>IF(Z7&gt;=Таблицы!$L$19,Таблицы!$L$19,IF(Z7&lt;=Таблицы!$L$7,Таблицы!$L$7,INDEX(Таблицы!$L$7:$L$19,MATCH(Z7,Таблицы!$L$7:$L$19,1))))</f>
        <v>8</v>
      </c>
      <c r="V7" s="24">
        <f>INDEX(Таблицы!$M$7:$U$19,MATCH(U7,Таблицы!$L$7:$L$19),MATCH(Q7,Таблицы!$M$6:$U$6))</f>
        <v>44</v>
      </c>
      <c r="W7" s="25">
        <f t="shared" si="1"/>
        <v>37.400000000000006</v>
      </c>
      <c r="X7" s="26">
        <f>INDEX(Таблицы!$M$7:$U$19,MATCH(U7,Таблицы!$L$7:$L$19),MATCH(S7,Таблицы!$M$6:$U$6))</f>
        <v>33</v>
      </c>
      <c r="Z7" s="27">
        <f t="shared" si="2"/>
        <v>9.58</v>
      </c>
      <c r="AA7" s="28">
        <f t="shared" si="3"/>
        <v>45.58</v>
      </c>
      <c r="AB7" s="29">
        <f>IF(AA7=AC7,AA7,(AC7-AA7)/(S7-Q7)*(R7-Q7)+AA7)*IF(ISERR(FIND("плотный",#REF!,1)),1,1.3)*IF(ISERR(FIND("рыхлый",#REF!,1)),1,0.5)</f>
        <v>38.506</v>
      </c>
      <c r="AC7" s="30">
        <f t="shared" ref="AC7" si="7">IF(X7=AH7,X7,(AH7-X7)/(AE7-U7)*(Z7-U7)+X7)</f>
        <v>33.79</v>
      </c>
      <c r="AE7" s="31">
        <f>IF(Z7&gt;=Таблицы!$L$19,Таблицы!$L$19,IF(Z7&lt;=Таблицы!$L$7,Таблицы!$L$7,IF(Z7=U7,Z7,INDEX(Таблицы!$L$7:$L$19,MATCH(Z7,Таблицы!$L$7:$L$19,1)+1))))</f>
        <v>10</v>
      </c>
      <c r="AF7" s="32">
        <f>INDEX(Таблицы!$M$7:$U$19,MATCH(AE7,Таблицы!$L$7:$L$19),MATCH(Q7,Таблицы!$M$6:$U$6))</f>
        <v>46</v>
      </c>
      <c r="AG7" s="33">
        <f t="shared" si="4"/>
        <v>38.800000000000004</v>
      </c>
      <c r="AH7" s="34">
        <f>INDEX(Таблицы!$M$7:$U$19,MATCH(AE7,Таблицы!$L$7:$L$19),MATCH(S7,Таблицы!$M$6:$U$6))</f>
        <v>34</v>
      </c>
    </row>
    <row r="8" spans="2:34" ht="15.75" thickBot="1" x14ac:dyDescent="0.3">
      <c r="C8" s="37"/>
      <c r="D8" s="35"/>
      <c r="E8" s="35"/>
      <c r="F8" s="35"/>
      <c r="I8" s="50">
        <f>SUM(I6:I7)</f>
        <v>118.32749459999998</v>
      </c>
    </row>
    <row r="9" spans="2:34" ht="5.25" customHeight="1" thickBot="1" x14ac:dyDescent="0.3">
      <c r="C9" s="37"/>
      <c r="E9" s="38"/>
      <c r="F9" s="35"/>
    </row>
    <row r="10" spans="2:34" ht="18" x14ac:dyDescent="0.25">
      <c r="B10" s="156" t="s">
        <v>99</v>
      </c>
      <c r="C10" s="157"/>
      <c r="D10" s="13" t="s">
        <v>1</v>
      </c>
      <c r="E10" s="119">
        <v>1</v>
      </c>
      <c r="F10" s="115"/>
      <c r="G10" s="164"/>
      <c r="H10" s="165"/>
      <c r="I10" s="166"/>
    </row>
    <row r="11" spans="2:34" ht="18" x14ac:dyDescent="0.25">
      <c r="B11" s="154" t="s">
        <v>100</v>
      </c>
      <c r="C11" s="155"/>
      <c r="D11" s="15" t="s">
        <v>1</v>
      </c>
      <c r="E11" s="120">
        <v>0.8</v>
      </c>
      <c r="F11" s="116"/>
      <c r="G11" s="161"/>
      <c r="H11" s="162"/>
      <c r="I11" s="163"/>
      <c r="N11" s="17"/>
    </row>
    <row r="12" spans="2:34" ht="18" x14ac:dyDescent="0.25">
      <c r="B12" s="154" t="s">
        <v>4</v>
      </c>
      <c r="C12" s="155"/>
      <c r="D12" s="15" t="s">
        <v>98</v>
      </c>
      <c r="E12" s="120">
        <v>0.5</v>
      </c>
      <c r="F12" s="116"/>
      <c r="G12" s="161"/>
      <c r="H12" s="162"/>
      <c r="I12" s="163"/>
    </row>
    <row r="13" spans="2:34" ht="20.25" customHeight="1" x14ac:dyDescent="0.25">
      <c r="B13" s="154" t="s">
        <v>137</v>
      </c>
      <c r="C13" s="155"/>
      <c r="D13" s="121"/>
      <c r="E13" s="122"/>
      <c r="F13" s="122"/>
      <c r="G13" s="158"/>
      <c r="H13" s="159"/>
      <c r="I13" s="160"/>
      <c r="K13" s="88">
        <v>1</v>
      </c>
      <c r="L13" s="12">
        <f>VLOOKUP(K13,Таблицы!H38:I45,2)</f>
        <v>1</v>
      </c>
    </row>
    <row r="14" spans="2:34" ht="15.75" thickBot="1" x14ac:dyDescent="0.3">
      <c r="B14" s="154" t="s">
        <v>142</v>
      </c>
      <c r="C14" s="155"/>
      <c r="D14" s="15" t="s">
        <v>2</v>
      </c>
      <c r="E14" s="123">
        <f>MIN(M18*L13,20000)</f>
        <v>3240.92</v>
      </c>
      <c r="F14" s="116" t="s">
        <v>3</v>
      </c>
      <c r="G14" s="200" t="s">
        <v>143</v>
      </c>
      <c r="H14" s="201"/>
      <c r="I14" s="202"/>
      <c r="K14" s="149" t="s">
        <v>32</v>
      </c>
      <c r="L14" s="149"/>
      <c r="M14" s="149"/>
      <c r="N14" s="149"/>
    </row>
    <row r="15" spans="2:34" x14ac:dyDescent="0.25">
      <c r="B15" s="170" t="s">
        <v>141</v>
      </c>
      <c r="C15" s="171"/>
      <c r="D15" s="124" t="s">
        <v>5</v>
      </c>
      <c r="E15" s="125">
        <f>E7+D7/2</f>
        <v>11.19</v>
      </c>
      <c r="F15" s="126" t="s">
        <v>7</v>
      </c>
      <c r="G15" s="161"/>
      <c r="H15" s="162"/>
      <c r="I15" s="163"/>
      <c r="K15" s="18" t="s">
        <v>26</v>
      </c>
      <c r="L15" s="150" t="s">
        <v>31</v>
      </c>
      <c r="M15" s="151"/>
      <c r="N15" s="152"/>
    </row>
    <row r="16" spans="2:34" ht="18.75" thickBot="1" x14ac:dyDescent="0.3">
      <c r="B16" s="170" t="s">
        <v>103</v>
      </c>
      <c r="C16" s="171"/>
      <c r="D16" s="124" t="s">
        <v>115</v>
      </c>
      <c r="E16" s="127">
        <v>3.95</v>
      </c>
      <c r="F16" s="126" t="s">
        <v>7</v>
      </c>
      <c r="G16" s="161"/>
      <c r="H16" s="162"/>
      <c r="I16" s="163"/>
      <c r="K16" s="19"/>
      <c r="L16" s="20">
        <f>IF(M16&lt;=Таблицы!$C$6,Таблицы!$C$6,IF(M16&gt;=Таблицы!$I$6,Таблицы!$I$6,INDEX(Таблицы!$C$6:$I$6,,MATCH(M16,Таблицы!$C$6:$I$6,1))))</f>
        <v>0.3</v>
      </c>
      <c r="M16" s="21">
        <f>E18</f>
        <v>0.36</v>
      </c>
      <c r="N16" s="22">
        <f>IF(M16&lt;=Таблицы!$C$6,$D$31,IF(M16&gt;=Таблицы!$I$6,Таблицы!$I$6,IF(M16=L16,M16,INDEX(Таблицы!$C$6:$I$6,,MATCH(M16,Таблицы!$C$6:$I$6,1)+1))))</f>
        <v>0.4</v>
      </c>
    </row>
    <row r="17" spans="2:14" ht="20.25" x14ac:dyDescent="0.25">
      <c r="B17" s="198" t="s">
        <v>114</v>
      </c>
      <c r="C17" s="199"/>
      <c r="D17" s="128" t="s">
        <v>124</v>
      </c>
      <c r="E17" s="129">
        <f>E15+E16</f>
        <v>15.14</v>
      </c>
      <c r="F17" s="130" t="s">
        <v>7</v>
      </c>
      <c r="G17" s="161"/>
      <c r="H17" s="162"/>
      <c r="I17" s="163"/>
      <c r="K17" s="23">
        <f>IF(K18&gt;=Таблицы!$B$16,Таблицы!$B$16,IF(K18&lt;=Таблицы!$B$7,Таблицы!$B$7,INDEX(Таблицы!$B$7:$B$16,MATCH(K18,Таблицы!$B$7:$B$16,1))))</f>
        <v>10</v>
      </c>
      <c r="L17" s="24">
        <f>INDEX(Таблицы!$C$7:$I$16,MATCH(K17,Таблицы!$B$7:$B$16),MATCH(L16,Таблицы!$C$6:$I$6))</f>
        <v>4000</v>
      </c>
      <c r="M17" s="25">
        <f>IF(L17=N17,L17,(N17-L17)/(N16-L16)*(M16-L16)+L17)</f>
        <v>3160.0000000000005</v>
      </c>
      <c r="N17" s="26">
        <f>INDEX(Таблицы!$C$7:$I$16,MATCH(K17,Таблицы!$B$7:$B$16),MATCH(N16,Таблицы!$C$6:$I$6))</f>
        <v>2600</v>
      </c>
    </row>
    <row r="18" spans="2:14" x14ac:dyDescent="0.25">
      <c r="B18" s="170" t="s">
        <v>50</v>
      </c>
      <c r="C18" s="171"/>
      <c r="D18" s="124"/>
      <c r="E18" s="127">
        <v>0.36</v>
      </c>
      <c r="F18" s="126"/>
      <c r="G18" s="161"/>
      <c r="H18" s="162"/>
      <c r="I18" s="163"/>
      <c r="K18" s="27">
        <f>E15</f>
        <v>11.19</v>
      </c>
      <c r="L18" s="28">
        <f>IF(L17=L19,L17,(L19-L17)/(K19-K17)*(K18-K17)+L17)</f>
        <v>4095.2</v>
      </c>
      <c r="M18" s="29">
        <f>IF(L18=N18,L18,(N18-L18)/(N16-L16)*(M16-L16)+L18)</f>
        <v>3240.92</v>
      </c>
      <c r="N18" s="30">
        <f>IF(N17=N19,N17,(N19-N17)/(K19-K17)*(K18-K17)+N17)</f>
        <v>2671.4</v>
      </c>
    </row>
    <row r="19" spans="2:14" ht="15.75" thickBot="1" x14ac:dyDescent="0.3">
      <c r="B19" s="170" t="s">
        <v>11</v>
      </c>
      <c r="C19" s="171"/>
      <c r="D19" s="124" t="s">
        <v>6</v>
      </c>
      <c r="E19" s="127">
        <v>0.63</v>
      </c>
      <c r="F19" s="126" t="s">
        <v>7</v>
      </c>
      <c r="G19" s="161"/>
      <c r="H19" s="162"/>
      <c r="I19" s="163"/>
      <c r="K19" s="31">
        <f>IF(K18&gt;=Таблицы!$B$16,Таблицы!$B$16,IF(K18&lt;=Таблицы!$B$7,Таблицы!$B$7,IF(K18=K17,K18,INDEX(Таблицы!$B$7:$B$16,MATCH(K18,Таблицы!$B$7:$B$16,1)+1))))</f>
        <v>15</v>
      </c>
      <c r="L19" s="32">
        <f>INDEX(Таблицы!$C$7:$I$17,MATCH(K19,Таблицы!$B$7:$B$16),MATCH(L16,Таблицы!$C$6:$I$6))</f>
        <v>4400</v>
      </c>
      <c r="M19" s="33">
        <f>IF(L19=N19,L19,(N19-L19)/(N16-L16)*(M16-L16)+L19)</f>
        <v>3500.0000000000005</v>
      </c>
      <c r="N19" s="34">
        <f>INDEX(Таблицы!$C$7:$I$16,MATCH(K19,Таблицы!$B$7:$B$16),MATCH(N16,Таблицы!$C$6:$I$6))</f>
        <v>2900</v>
      </c>
    </row>
    <row r="20" spans="2:14" x14ac:dyDescent="0.25">
      <c r="B20" s="170" t="s">
        <v>37</v>
      </c>
      <c r="C20" s="171"/>
      <c r="D20" s="124" t="s">
        <v>38</v>
      </c>
      <c r="E20" s="127">
        <v>10</v>
      </c>
      <c r="F20" s="126" t="s">
        <v>39</v>
      </c>
      <c r="G20" s="161"/>
      <c r="H20" s="162"/>
      <c r="I20" s="163"/>
    </row>
    <row r="21" spans="2:14" x14ac:dyDescent="0.25">
      <c r="B21" s="170" t="s">
        <v>13</v>
      </c>
      <c r="C21" s="171"/>
      <c r="D21" s="131"/>
      <c r="E21" s="132">
        <f>(((E16+E15)*(((3.14*E19^2)/4)-((3.14*(E19-2*E20/1000)^2)/4)))*7850)</f>
        <v>2313.752332000005</v>
      </c>
      <c r="F21" s="126" t="s">
        <v>14</v>
      </c>
      <c r="G21" s="161"/>
      <c r="H21" s="162"/>
      <c r="I21" s="163"/>
    </row>
    <row r="22" spans="2:14" x14ac:dyDescent="0.25">
      <c r="B22" s="170" t="s">
        <v>41</v>
      </c>
      <c r="C22" s="171"/>
      <c r="D22" s="124"/>
      <c r="E22" s="133"/>
      <c r="F22" s="126"/>
      <c r="G22" s="161"/>
      <c r="H22" s="162"/>
      <c r="I22" s="163"/>
      <c r="K22" s="101" t="b">
        <v>0</v>
      </c>
    </row>
    <row r="23" spans="2:14" x14ac:dyDescent="0.25">
      <c r="B23" s="170" t="s">
        <v>138</v>
      </c>
      <c r="C23" s="171"/>
      <c r="D23" s="124" t="s">
        <v>8</v>
      </c>
      <c r="E23" s="134">
        <f>IF(K22=TRUE,(PI()*E19^2)/4,(PI()*E19^2)/4-(PI()*(E19-E20*2/1000)^2)/4)</f>
        <v>1.9477874452256738E-2</v>
      </c>
      <c r="F23" s="124" t="s">
        <v>7</v>
      </c>
      <c r="G23" s="161"/>
      <c r="H23" s="162"/>
      <c r="I23" s="163"/>
    </row>
    <row r="24" spans="2:14" x14ac:dyDescent="0.25">
      <c r="B24" s="170" t="s">
        <v>9</v>
      </c>
      <c r="C24" s="171"/>
      <c r="D24" s="124" t="s">
        <v>10</v>
      </c>
      <c r="E24" s="135">
        <f>PI()*E19</f>
        <v>1.9792033717615696</v>
      </c>
      <c r="F24" s="124" t="s">
        <v>7</v>
      </c>
      <c r="G24" s="161"/>
      <c r="H24" s="162"/>
      <c r="I24" s="163"/>
    </row>
    <row r="25" spans="2:14" ht="18.75" collapsed="1" thickBot="1" x14ac:dyDescent="0.3">
      <c r="B25" s="194" t="s">
        <v>49</v>
      </c>
      <c r="C25" s="195"/>
      <c r="D25" s="137" t="s">
        <v>40</v>
      </c>
      <c r="E25" s="138">
        <v>1.4</v>
      </c>
      <c r="F25" s="139"/>
      <c r="G25" s="172"/>
      <c r="H25" s="173"/>
      <c r="I25" s="174"/>
    </row>
    <row r="26" spans="2:14" ht="40.5" hidden="1" customHeight="1" outlineLevel="1" x14ac:dyDescent="0.25">
      <c r="B26" s="183" t="s">
        <v>96</v>
      </c>
      <c r="C26" s="184"/>
      <c r="D26" s="13" t="s">
        <v>0</v>
      </c>
      <c r="E26" s="14">
        <f>(E10*(E12*E14*E23+E24*I8)/9.80665)/E25-E21/1000</f>
        <v>17.043177675358187</v>
      </c>
      <c r="F26" s="13" t="s">
        <v>12</v>
      </c>
      <c r="G26" s="164" t="s">
        <v>102</v>
      </c>
      <c r="H26" s="165"/>
      <c r="I26" s="166"/>
    </row>
    <row r="27" spans="2:14" ht="29.25" customHeight="1" x14ac:dyDescent="0.25">
      <c r="B27" s="181" t="s">
        <v>146</v>
      </c>
      <c r="C27" s="182"/>
      <c r="D27" s="15" t="s">
        <v>148</v>
      </c>
      <c r="E27" s="16">
        <f>E10*(E12*E14*((PI()*E19^2)/4)+E24*I8)/9.80665</f>
        <v>75.39081234403875</v>
      </c>
      <c r="F27" s="15" t="s">
        <v>12</v>
      </c>
      <c r="G27" s="167" t="s">
        <v>150</v>
      </c>
      <c r="H27" s="168"/>
      <c r="I27" s="169"/>
    </row>
    <row r="28" spans="2:14" ht="29.25" customHeight="1" thickBot="1" x14ac:dyDescent="0.3">
      <c r="B28" s="179" t="s">
        <v>147</v>
      </c>
      <c r="C28" s="180"/>
      <c r="D28" s="140" t="s">
        <v>149</v>
      </c>
      <c r="E28" s="141">
        <f>E10*(E12*E14*E23+E24*I8+IF(K22=TRUE,0,PI()*(E19-2*E20/1000)*I8))/9.80665</f>
        <v>50.222729805660528</v>
      </c>
      <c r="F28" s="140" t="s">
        <v>12</v>
      </c>
      <c r="G28" s="191" t="s">
        <v>150</v>
      </c>
      <c r="H28" s="192"/>
      <c r="I28" s="193"/>
    </row>
    <row r="29" spans="2:14" ht="32.25" customHeight="1" x14ac:dyDescent="0.25">
      <c r="B29" s="156" t="s">
        <v>95</v>
      </c>
      <c r="C29" s="157"/>
      <c r="D29" s="145" t="s">
        <v>151</v>
      </c>
      <c r="E29" s="143">
        <f>MIN(E27,E28)/E25-E21/1000</f>
        <v>33.559626100614658</v>
      </c>
      <c r="F29" s="142" t="s">
        <v>12</v>
      </c>
      <c r="G29" s="188" t="s">
        <v>48</v>
      </c>
      <c r="H29" s="189"/>
      <c r="I29" s="190"/>
    </row>
    <row r="30" spans="2:14" x14ac:dyDescent="0.25">
      <c r="B30" s="154" t="str">
        <f>"- по площади основания"</f>
        <v>- по площади основания</v>
      </c>
      <c r="C30" s="155"/>
      <c r="D30" s="15"/>
      <c r="E30" s="136">
        <f>IF(E28&lt;=E27,(E10*(E12*E14*E23)/9.80665)/E25,(E10*(E12*E14*((PI()*E19^2)/4))/9.80665)/E25)</f>
        <v>2.2989586829129767</v>
      </c>
      <c r="F30" s="15" t="s">
        <v>12</v>
      </c>
      <c r="G30" s="161" t="s">
        <v>47</v>
      </c>
      <c r="H30" s="162"/>
      <c r="I30" s="163"/>
    </row>
    <row r="31" spans="2:14" ht="15.75" thickBot="1" x14ac:dyDescent="0.3">
      <c r="B31" s="177" t="str">
        <f>"- по боковой поверхности"</f>
        <v>- по боковой поверхности</v>
      </c>
      <c r="C31" s="178"/>
      <c r="D31" s="137"/>
      <c r="E31" s="144">
        <f>IF(E28&lt;=E27,(E10*(E24*I8+IF(K22=TRUE,0,3.14*(E19-2*E20/1000)*I8))/9.80665)/E25,(E10*(E24*I8)/9.80665)/E25)</f>
        <v>33.566046614233265</v>
      </c>
      <c r="F31" s="137" t="s">
        <v>12</v>
      </c>
      <c r="G31" s="172" t="s">
        <v>47</v>
      </c>
      <c r="H31" s="173"/>
      <c r="I31" s="174"/>
    </row>
    <row r="32" spans="2:14" ht="32.25" customHeight="1" thickBot="1" x14ac:dyDescent="0.3">
      <c r="B32" s="175" t="s">
        <v>94</v>
      </c>
      <c r="C32" s="176"/>
      <c r="D32" s="146" t="s">
        <v>152</v>
      </c>
      <c r="E32" s="118">
        <f>(E11*E24*I8/9.80665)/E25+E21/1000</f>
        <v>15.960129391556178</v>
      </c>
      <c r="F32" s="117" t="s">
        <v>12</v>
      </c>
      <c r="G32" s="185" t="s">
        <v>93</v>
      </c>
      <c r="H32" s="186"/>
      <c r="I32" s="187"/>
    </row>
    <row r="44" spans="3:3" x14ac:dyDescent="0.25">
      <c r="C44" s="12"/>
    </row>
    <row r="45" spans="3:3" x14ac:dyDescent="0.25">
      <c r="C45" s="12"/>
    </row>
    <row r="46" spans="3:3" x14ac:dyDescent="0.25">
      <c r="C46" s="12"/>
    </row>
    <row r="47" spans="3:3" x14ac:dyDescent="0.25">
      <c r="C47" s="12"/>
    </row>
    <row r="48" spans="3:3" x14ac:dyDescent="0.25">
      <c r="C48" s="12"/>
    </row>
    <row r="49" spans="3:3" x14ac:dyDescent="0.25">
      <c r="C49" s="12"/>
    </row>
    <row r="50" spans="3:3" x14ac:dyDescent="0.25">
      <c r="C50" s="12"/>
    </row>
    <row r="51" spans="3:3" x14ac:dyDescent="0.25">
      <c r="C51" s="51"/>
    </row>
    <row r="52" spans="3:3" x14ac:dyDescent="0.25">
      <c r="C52" s="51"/>
    </row>
  </sheetData>
  <sheetProtection algorithmName="SHA-512" hashValue="TO7tNtIFqGhynn5O6HF8T+ZyBUucANAhhcRKfst6+LPlhaZ5UJEh+WzS0GnsNe7qbWdZvbXvZtOgqYedXT8qng==" saltValue="8MncI1qDRm5jmZ4fJNMFOA==" spinCount="100000" sheet="1" scenarios="1" autoFilter="0"/>
  <mergeCells count="54">
    <mergeCell ref="B31:C31"/>
    <mergeCell ref="G31:I31"/>
    <mergeCell ref="B32:C32"/>
    <mergeCell ref="G32:I32"/>
    <mergeCell ref="B28:C28"/>
    <mergeCell ref="G28:I28"/>
    <mergeCell ref="B29:C29"/>
    <mergeCell ref="G29:I29"/>
    <mergeCell ref="B30:C30"/>
    <mergeCell ref="G30:I30"/>
    <mergeCell ref="B25:C25"/>
    <mergeCell ref="G25:I25"/>
    <mergeCell ref="B26:C26"/>
    <mergeCell ref="G26:I26"/>
    <mergeCell ref="B27:C27"/>
    <mergeCell ref="G27:I27"/>
    <mergeCell ref="B22:C22"/>
    <mergeCell ref="G22:I22"/>
    <mergeCell ref="B23:C23"/>
    <mergeCell ref="G23:I23"/>
    <mergeCell ref="B24:C24"/>
    <mergeCell ref="G24:I24"/>
    <mergeCell ref="B19:C19"/>
    <mergeCell ref="G19:I19"/>
    <mergeCell ref="B20:C20"/>
    <mergeCell ref="G20:I20"/>
    <mergeCell ref="B21:C21"/>
    <mergeCell ref="G21:I21"/>
    <mergeCell ref="B16:C16"/>
    <mergeCell ref="G16:I16"/>
    <mergeCell ref="B17:C17"/>
    <mergeCell ref="G17:I17"/>
    <mergeCell ref="B18:C18"/>
    <mergeCell ref="G18:I18"/>
    <mergeCell ref="B15:C15"/>
    <mergeCell ref="G15:I15"/>
    <mergeCell ref="L15:N15"/>
    <mergeCell ref="B10:C10"/>
    <mergeCell ref="G10:I10"/>
    <mergeCell ref="B11:C11"/>
    <mergeCell ref="G11:I11"/>
    <mergeCell ref="B12:C12"/>
    <mergeCell ref="G12:I12"/>
    <mergeCell ref="B13:C13"/>
    <mergeCell ref="G13:I13"/>
    <mergeCell ref="B14:C14"/>
    <mergeCell ref="G14:I14"/>
    <mergeCell ref="K14:N14"/>
    <mergeCell ref="L7:N7"/>
    <mergeCell ref="B1:I1"/>
    <mergeCell ref="B2:I2"/>
    <mergeCell ref="D3:G3"/>
    <mergeCell ref="D4:G4"/>
    <mergeCell ref="L6:N6"/>
  </mergeCells>
  <pageMargins left="0.7" right="0.7" top="0.75" bottom="0.75" header="0.3" footer="0.3"/>
  <pageSetup paperSize="9" scale="62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Check Box 1">
              <controlPr defaultSize="0" autoFill="0" autoLine="0" autoPict="0">
                <anchor moveWithCells="1">
                  <from>
                    <xdr:col>4</xdr:col>
                    <xdr:colOff>28575</xdr:colOff>
                    <xdr:row>20</xdr:row>
                    <xdr:rowOff>171450</xdr:rowOff>
                  </from>
                  <to>
                    <xdr:col>4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Добавка_слоя">
                <anchor moveWithCells="1" sizeWithCells="1">
                  <from>
                    <xdr:col>1</xdr:col>
                    <xdr:colOff>9525</xdr:colOff>
                    <xdr:row>2</xdr:row>
                    <xdr:rowOff>0</xdr:rowOff>
                  </from>
                  <to>
                    <xdr:col>2</xdr:col>
                    <xdr:colOff>3829050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Удаление_слоя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8</xdr:col>
                    <xdr:colOff>762000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Drop Down 4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9525</xdr:rowOff>
                  </from>
                  <to>
                    <xdr:col>8</xdr:col>
                    <xdr:colOff>742950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3FB3F-2E89-419F-A9A1-352937B21E6A}">
  <sheetPr codeName="Лист1"/>
  <dimension ref="B1:K31"/>
  <sheetViews>
    <sheetView workbookViewId="0">
      <selection activeCell="N17" sqref="N17"/>
    </sheetView>
  </sheetViews>
  <sheetFormatPr defaultRowHeight="15" x14ac:dyDescent="0.25"/>
  <cols>
    <col min="1" max="1" width="9.140625" style="2"/>
    <col min="2" max="2" width="44.42578125" style="2" customWidth="1"/>
    <col min="3" max="4" width="12" style="2" customWidth="1"/>
    <col min="5" max="10" width="12" style="2" hidden="1" customWidth="1"/>
    <col min="11" max="11" width="12" style="2" customWidth="1"/>
    <col min="12" max="12" width="11.5703125" style="2" bestFit="1" customWidth="1"/>
    <col min="13" max="16384" width="9.140625" style="2"/>
  </cols>
  <sheetData>
    <row r="1" spans="2:11" ht="15.75" customHeight="1" thickBot="1" x14ac:dyDescent="0.3">
      <c r="B1" s="106" t="s">
        <v>164</v>
      </c>
      <c r="C1" s="102"/>
      <c r="D1" s="102"/>
      <c r="E1" s="102"/>
      <c r="F1" s="102"/>
      <c r="G1" s="102"/>
      <c r="H1" s="102"/>
      <c r="I1" s="102"/>
      <c r="J1" s="102"/>
      <c r="K1" s="104"/>
    </row>
    <row r="2" spans="2:11" ht="15.75" thickBot="1" x14ac:dyDescent="0.3">
      <c r="B2" s="99" t="s">
        <v>130</v>
      </c>
      <c r="C2" s="96" t="s">
        <v>135</v>
      </c>
      <c r="D2" s="97" t="s">
        <v>136</v>
      </c>
      <c r="E2" s="97" t="s">
        <v>154</v>
      </c>
      <c r="F2" s="97" t="s">
        <v>155</v>
      </c>
      <c r="G2" s="97" t="s">
        <v>156</v>
      </c>
      <c r="H2" s="97" t="s">
        <v>157</v>
      </c>
      <c r="I2" s="97" t="s">
        <v>158</v>
      </c>
      <c r="J2" s="98" t="s">
        <v>159</v>
      </c>
      <c r="K2" s="147"/>
    </row>
    <row r="3" spans="2:11" ht="15.75" customHeight="1" x14ac:dyDescent="0.25">
      <c r="B3" s="90" t="s">
        <v>125</v>
      </c>
      <c r="C3" s="7" t="s">
        <v>104</v>
      </c>
      <c r="D3" s="8" t="s">
        <v>105</v>
      </c>
      <c r="E3" s="8" t="s">
        <v>106</v>
      </c>
      <c r="F3" s="8" t="s">
        <v>107</v>
      </c>
      <c r="G3" s="8" t="s">
        <v>108</v>
      </c>
      <c r="H3" s="8" t="s">
        <v>109</v>
      </c>
      <c r="I3" s="8" t="s">
        <v>110</v>
      </c>
      <c r="J3" s="9" t="s">
        <v>111</v>
      </c>
      <c r="K3" s="147"/>
    </row>
    <row r="4" spans="2:11" ht="15.75" thickBot="1" x14ac:dyDescent="0.3">
      <c r="B4" s="92" t="s">
        <v>126</v>
      </c>
      <c r="C4" s="105" t="s">
        <v>131</v>
      </c>
      <c r="D4" s="93" t="s">
        <v>131</v>
      </c>
      <c r="E4" s="93" t="s">
        <v>131</v>
      </c>
      <c r="F4" s="93" t="s">
        <v>131</v>
      </c>
      <c r="G4" s="93" t="s">
        <v>131</v>
      </c>
      <c r="H4" s="93" t="s">
        <v>131</v>
      </c>
      <c r="I4" s="93" t="s">
        <v>131</v>
      </c>
      <c r="J4" s="94" t="s">
        <v>131</v>
      </c>
      <c r="K4" s="147"/>
    </row>
    <row r="5" spans="2:11" ht="15.75" customHeight="1" x14ac:dyDescent="0.25">
      <c r="B5" s="91" t="s">
        <v>112</v>
      </c>
      <c r="C5" s="7">
        <f ca="1">VLOOKUP("Диаметр сваи",INDIRECT(_xlfn.CONCAT("'",C2,"'!$B:$I")),4,0)</f>
        <v>0.63</v>
      </c>
      <c r="D5" s="8">
        <f t="shared" ref="D5:J5" ca="1" si="0">VLOOKUP("Диаметр сваи",INDIRECT(_xlfn.CONCAT("'",D2,"'!$B:$I")),4,0)</f>
        <v>0.63</v>
      </c>
      <c r="E5" s="8" t="e">
        <f t="shared" ca="1" si="0"/>
        <v>#REF!</v>
      </c>
      <c r="F5" s="8" t="e">
        <f t="shared" ca="1" si="0"/>
        <v>#REF!</v>
      </c>
      <c r="G5" s="8" t="e">
        <f t="shared" ca="1" si="0"/>
        <v>#REF!</v>
      </c>
      <c r="H5" s="8" t="e">
        <f t="shared" ca="1" si="0"/>
        <v>#REF!</v>
      </c>
      <c r="I5" s="8" t="e">
        <f t="shared" ca="1" si="0"/>
        <v>#REF!</v>
      </c>
      <c r="J5" s="9" t="e">
        <f t="shared" ca="1" si="0"/>
        <v>#REF!</v>
      </c>
      <c r="K5" s="147"/>
    </row>
    <row r="6" spans="2:11" ht="15.75" customHeight="1" x14ac:dyDescent="0.25">
      <c r="B6" s="5" t="s">
        <v>113</v>
      </c>
      <c r="C6" s="10">
        <f ca="1">VLOOKUP("Толщина стенки сваи",INDIRECT(_xlfn.CONCAT("'",C2,"'!$B:$I")),4,0)</f>
        <v>10</v>
      </c>
      <c r="D6" s="11">
        <f t="shared" ref="D6:J6" ca="1" si="1">VLOOKUP("Толщина стенки сваи",INDIRECT(_xlfn.CONCAT("'",D2,"'!$B:$I")),4,0)</f>
        <v>10</v>
      </c>
      <c r="E6" s="11" t="e">
        <f t="shared" ca="1" si="1"/>
        <v>#REF!</v>
      </c>
      <c r="F6" s="11" t="e">
        <f t="shared" ca="1" si="1"/>
        <v>#REF!</v>
      </c>
      <c r="G6" s="11" t="e">
        <f t="shared" ca="1" si="1"/>
        <v>#REF!</v>
      </c>
      <c r="H6" s="11" t="e">
        <f t="shared" ca="1" si="1"/>
        <v>#REF!</v>
      </c>
      <c r="I6" s="11" t="e">
        <f t="shared" ca="1" si="1"/>
        <v>#REF!</v>
      </c>
      <c r="J6" s="1" t="e">
        <f t="shared" ca="1" si="1"/>
        <v>#REF!</v>
      </c>
      <c r="K6" s="147"/>
    </row>
    <row r="7" spans="2:11" ht="15.75" customHeight="1" x14ac:dyDescent="0.25">
      <c r="B7" s="5" t="s">
        <v>153</v>
      </c>
      <c r="C7" s="10" t="str">
        <f ca="1">IF(VLOOKUP("Заделка нижнего конца",INDIRECT(_xlfn.CONCAT("'",C2,"'!$B:$K")),10,0),"Заделан","Не заделан")</f>
        <v>Не заделан</v>
      </c>
      <c r="D7" s="11" t="str">
        <f t="shared" ref="D7:J7" ca="1" si="2">IF(VLOOKUP("Заделка нижнего конца",INDIRECT(_xlfn.CONCAT("'",D2,"'!$B:$K")),10,0),"Заделан","Не заделан")</f>
        <v>Не заделан</v>
      </c>
      <c r="E7" s="11" t="e">
        <f t="shared" ca="1" si="2"/>
        <v>#REF!</v>
      </c>
      <c r="F7" s="11" t="e">
        <f t="shared" ca="1" si="2"/>
        <v>#REF!</v>
      </c>
      <c r="G7" s="11" t="e">
        <f t="shared" ca="1" si="2"/>
        <v>#REF!</v>
      </c>
      <c r="H7" s="11" t="e">
        <f t="shared" ca="1" si="2"/>
        <v>#REF!</v>
      </c>
      <c r="I7" s="11" t="e">
        <f t="shared" ca="1" si="2"/>
        <v>#REF!</v>
      </c>
      <c r="J7" s="1" t="e">
        <f t="shared" ca="1" si="2"/>
        <v>#REF!</v>
      </c>
      <c r="K7" s="147"/>
    </row>
    <row r="8" spans="2:11" ht="15.75" customHeight="1" x14ac:dyDescent="0.25">
      <c r="B8" s="89" t="s">
        <v>127</v>
      </c>
      <c r="C8" s="10">
        <f ca="1">VLOOKUP("Возвышение головы сваи над поверхностью площадки",INDIRECT(_xlfn.CONCAT("'",C2,"'!$B:$I")),4,0)</f>
        <v>4.43</v>
      </c>
      <c r="D8" s="11">
        <f t="shared" ref="D8:J8" ca="1" si="3">VLOOKUP("Возвышение головы сваи над поверхностью площадки",INDIRECT(_xlfn.CONCAT("'",D2,"'!$B:$I")),4,0)</f>
        <v>3.95</v>
      </c>
      <c r="E8" s="11" t="e">
        <f t="shared" ca="1" si="3"/>
        <v>#REF!</v>
      </c>
      <c r="F8" s="11" t="e">
        <f t="shared" ca="1" si="3"/>
        <v>#REF!</v>
      </c>
      <c r="G8" s="11" t="e">
        <f t="shared" ca="1" si="3"/>
        <v>#REF!</v>
      </c>
      <c r="H8" s="11" t="e">
        <f t="shared" ca="1" si="3"/>
        <v>#REF!</v>
      </c>
      <c r="I8" s="11" t="e">
        <f t="shared" ca="1" si="3"/>
        <v>#REF!</v>
      </c>
      <c r="J8" s="1" t="e">
        <f t="shared" ca="1" si="3"/>
        <v>#REF!</v>
      </c>
      <c r="K8" s="147"/>
    </row>
    <row r="9" spans="2:11" ht="15.75" customHeight="1" x14ac:dyDescent="0.25">
      <c r="B9" s="89" t="s">
        <v>128</v>
      </c>
      <c r="C9" s="6">
        <f ca="1">VLOOKUP("Глубина заложения нижнего конца",INDIRECT(_xlfn.CONCAT("'",C2,"'!$B:$I")),4,0)</f>
        <v>9.84</v>
      </c>
      <c r="D9" s="3">
        <f t="shared" ref="D9:J9" ca="1" si="4">VLOOKUP("Глубина заложения нижнего конца",INDIRECT(_xlfn.CONCAT("'",D2,"'!$B:$I")),4,0)</f>
        <v>11.19</v>
      </c>
      <c r="E9" s="3" t="e">
        <f t="shared" ca="1" si="4"/>
        <v>#REF!</v>
      </c>
      <c r="F9" s="3" t="e">
        <f t="shared" ca="1" si="4"/>
        <v>#REF!</v>
      </c>
      <c r="G9" s="3" t="e">
        <f t="shared" ca="1" si="4"/>
        <v>#REF!</v>
      </c>
      <c r="H9" s="3" t="e">
        <f t="shared" ca="1" si="4"/>
        <v>#REF!</v>
      </c>
      <c r="I9" s="3" t="e">
        <f t="shared" ca="1" si="4"/>
        <v>#REF!</v>
      </c>
      <c r="J9" s="4" t="e">
        <f t="shared" ca="1" si="4"/>
        <v>#REF!</v>
      </c>
      <c r="K9" s="148"/>
    </row>
    <row r="10" spans="2:11" ht="15.75" customHeight="1" x14ac:dyDescent="0.25">
      <c r="B10" s="114" t="s">
        <v>129</v>
      </c>
      <c r="C10" s="111">
        <f ca="1">VLOOKUP("Общая длина сваи",INDIRECT(_xlfn.CONCAT("'",C2,"'!$B:$I")),4,0)</f>
        <v>14.27</v>
      </c>
      <c r="D10" s="112">
        <f t="shared" ref="D10:J10" ca="1" si="5">VLOOKUP("Общая длина сваи",INDIRECT(_xlfn.CONCAT("'",D2,"'!$B:$I")),4,0)</f>
        <v>15.14</v>
      </c>
      <c r="E10" s="112" t="e">
        <f t="shared" ca="1" si="5"/>
        <v>#REF!</v>
      </c>
      <c r="F10" s="112" t="e">
        <f t="shared" ca="1" si="5"/>
        <v>#REF!</v>
      </c>
      <c r="G10" s="112" t="e">
        <f t="shared" ca="1" si="5"/>
        <v>#REF!</v>
      </c>
      <c r="H10" s="112" t="e">
        <f t="shared" ca="1" si="5"/>
        <v>#REF!</v>
      </c>
      <c r="I10" s="112" t="e">
        <f t="shared" ca="1" si="5"/>
        <v>#REF!</v>
      </c>
      <c r="J10" s="113" t="e">
        <f t="shared" ca="1" si="5"/>
        <v>#REF!</v>
      </c>
      <c r="K10" s="148"/>
    </row>
    <row r="11" spans="2:11" ht="15.75" customHeight="1" x14ac:dyDescent="0.25">
      <c r="B11" s="100" t="s">
        <v>133</v>
      </c>
      <c r="C11" s="6">
        <f ca="1">VLOOKUP("Несущая способность одиночной сваи-оболочки, работающией на сжимающую нагрузку",INDIRECT(_xlfn.CONCAT("'",C2,"'!$B:$I")),4,0)</f>
        <v>29.585740357738857</v>
      </c>
      <c r="D11" s="3">
        <f t="shared" ref="D11:J11" ca="1" si="6">VLOOKUP("Несущая способность одиночной сваи-оболочки, работающией на сжимающую нагрузку",INDIRECT(_xlfn.CONCAT("'",D2,"'!$B:$I")),4,0)</f>
        <v>33.559626100614658</v>
      </c>
      <c r="E11" s="3" t="e">
        <f t="shared" ca="1" si="6"/>
        <v>#REF!</v>
      </c>
      <c r="F11" s="3" t="e">
        <f t="shared" ca="1" si="6"/>
        <v>#REF!</v>
      </c>
      <c r="G11" s="3" t="e">
        <f t="shared" ca="1" si="6"/>
        <v>#REF!</v>
      </c>
      <c r="H11" s="3" t="e">
        <f t="shared" ca="1" si="6"/>
        <v>#REF!</v>
      </c>
      <c r="I11" s="3" t="e">
        <f t="shared" ca="1" si="6"/>
        <v>#REF!</v>
      </c>
      <c r="J11" s="4" t="e">
        <f t="shared" ca="1" si="6"/>
        <v>#REF!</v>
      </c>
      <c r="K11" s="148"/>
    </row>
    <row r="12" spans="2:11" ht="15.75" customHeight="1" x14ac:dyDescent="0.25">
      <c r="B12" s="107" t="s">
        <v>132</v>
      </c>
      <c r="C12" s="6">
        <v>23.85</v>
      </c>
      <c r="D12" s="3">
        <f>C12</f>
        <v>23.85</v>
      </c>
      <c r="E12" s="3">
        <f>D12</f>
        <v>23.85</v>
      </c>
      <c r="F12" s="3">
        <f t="shared" ref="F12:J12" si="7">E12</f>
        <v>23.85</v>
      </c>
      <c r="G12" s="3">
        <f t="shared" si="7"/>
        <v>23.85</v>
      </c>
      <c r="H12" s="3">
        <f t="shared" si="7"/>
        <v>23.85</v>
      </c>
      <c r="I12" s="3">
        <f t="shared" si="7"/>
        <v>23.85</v>
      </c>
      <c r="J12" s="4">
        <f t="shared" si="7"/>
        <v>23.85</v>
      </c>
      <c r="K12" s="148"/>
    </row>
    <row r="13" spans="2:11" ht="15.75" customHeight="1" thickBot="1" x14ac:dyDescent="0.3">
      <c r="B13" s="95" t="s">
        <v>134</v>
      </c>
      <c r="C13" s="108">
        <f ca="1">(1-C12/C11)*100%</f>
        <v>0.19386840715779263</v>
      </c>
      <c r="D13" s="109">
        <f t="shared" ref="D13:J13" ca="1" si="8">(1-D12/D11)*100%</f>
        <v>0.28932462094495204</v>
      </c>
      <c r="E13" s="109" t="e">
        <f t="shared" ca="1" si="8"/>
        <v>#REF!</v>
      </c>
      <c r="F13" s="109" t="e">
        <f t="shared" ca="1" si="8"/>
        <v>#REF!</v>
      </c>
      <c r="G13" s="109" t="e">
        <f t="shared" ca="1" si="8"/>
        <v>#REF!</v>
      </c>
      <c r="H13" s="109" t="e">
        <f t="shared" ca="1" si="8"/>
        <v>#REF!</v>
      </c>
      <c r="I13" s="109" t="e">
        <f t="shared" ca="1" si="8"/>
        <v>#REF!</v>
      </c>
      <c r="J13" s="110" t="e">
        <f t="shared" ca="1" si="8"/>
        <v>#REF!</v>
      </c>
      <c r="K13" s="148"/>
    </row>
    <row r="31" spans="2:2" x14ac:dyDescent="0.25">
      <c r="B31" s="103" t="s">
        <v>165</v>
      </c>
    </row>
  </sheetData>
  <sheetProtection autoFilter="0"/>
  <phoneticPr fontId="35" type="noConversion"/>
  <conditionalFormatting sqref="C11:J11">
    <cfRule type="expression" dxfId="1" priority="1">
      <formula>C11&lt;=C12</formula>
    </cfRule>
    <cfRule type="expression" dxfId="0" priority="2">
      <formula>C11&gt;C12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B1:Y45"/>
  <sheetViews>
    <sheetView topLeftCell="A19" workbookViewId="0">
      <selection activeCell="E47" sqref="E47"/>
    </sheetView>
  </sheetViews>
  <sheetFormatPr defaultRowHeight="15" x14ac:dyDescent="0.25"/>
  <cols>
    <col min="1" max="1" width="1" style="17" customWidth="1"/>
    <col min="2" max="2" width="11.5703125" style="17" customWidth="1"/>
    <col min="3" max="9" width="9" style="17" customWidth="1"/>
    <col min="10" max="10" width="0.7109375" style="17" customWidth="1"/>
    <col min="11" max="11" width="1.140625" style="17" customWidth="1"/>
    <col min="12" max="12" width="10.85546875" style="17" customWidth="1"/>
    <col min="13" max="21" width="7.140625" style="17" customWidth="1"/>
    <col min="22" max="22" width="9.140625" style="17"/>
    <col min="23" max="23" width="63.42578125" style="17" customWidth="1"/>
    <col min="24" max="25" width="22.28515625" style="17" customWidth="1"/>
    <col min="26" max="16384" width="9.140625" style="17"/>
  </cols>
  <sheetData>
    <row r="1" spans="2:25" ht="16.5" thickBot="1" x14ac:dyDescent="0.3">
      <c r="B1" s="17" t="s">
        <v>25</v>
      </c>
      <c r="L1" s="54" t="s">
        <v>27</v>
      </c>
      <c r="W1" s="54" t="s">
        <v>92</v>
      </c>
    </row>
    <row r="2" spans="2:25" ht="30.75" customHeight="1" thickBot="1" x14ac:dyDescent="0.3">
      <c r="B2" s="213" t="s">
        <v>15</v>
      </c>
      <c r="C2" s="211" t="s">
        <v>16</v>
      </c>
      <c r="D2" s="211"/>
      <c r="E2" s="211"/>
      <c r="F2" s="211"/>
      <c r="G2" s="211"/>
      <c r="H2" s="211"/>
      <c r="I2" s="212"/>
      <c r="L2" s="213" t="s">
        <v>28</v>
      </c>
      <c r="M2" s="210" t="s">
        <v>29</v>
      </c>
      <c r="N2" s="211"/>
      <c r="O2" s="211"/>
      <c r="P2" s="211"/>
      <c r="Q2" s="211"/>
      <c r="R2" s="211"/>
      <c r="S2" s="211"/>
      <c r="T2" s="211"/>
      <c r="U2" s="212"/>
      <c r="W2" s="203" t="s">
        <v>51</v>
      </c>
      <c r="X2" s="205" t="s">
        <v>52</v>
      </c>
      <c r="Y2" s="206"/>
    </row>
    <row r="3" spans="2:25" ht="27.75" thickBot="1" x14ac:dyDescent="0.3">
      <c r="B3" s="214"/>
      <c r="C3" s="211" t="s">
        <v>17</v>
      </c>
      <c r="D3" s="211"/>
      <c r="E3" s="211"/>
      <c r="F3" s="211"/>
      <c r="G3" s="211"/>
      <c r="H3" s="211"/>
      <c r="I3" s="212"/>
      <c r="L3" s="214"/>
      <c r="M3" s="210" t="s">
        <v>17</v>
      </c>
      <c r="N3" s="211"/>
      <c r="O3" s="211"/>
      <c r="P3" s="211"/>
      <c r="Q3" s="211"/>
      <c r="R3" s="211"/>
      <c r="S3" s="211"/>
      <c r="T3" s="211"/>
      <c r="U3" s="212"/>
      <c r="W3" s="204"/>
      <c r="X3" s="58" t="s">
        <v>53</v>
      </c>
      <c r="Y3" s="58" t="s">
        <v>54</v>
      </c>
    </row>
    <row r="4" spans="2:25" ht="77.25" thickBot="1" x14ac:dyDescent="0.3">
      <c r="B4" s="214"/>
      <c r="C4" s="56" t="s">
        <v>18</v>
      </c>
      <c r="D4" s="59" t="s">
        <v>19</v>
      </c>
      <c r="E4" s="59" t="s">
        <v>20</v>
      </c>
      <c r="F4" s="59" t="s">
        <v>21</v>
      </c>
      <c r="G4" s="59" t="s">
        <v>22</v>
      </c>
      <c r="H4" s="59" t="s">
        <v>23</v>
      </c>
      <c r="I4" s="59" t="s">
        <v>20</v>
      </c>
      <c r="L4" s="214"/>
      <c r="M4" s="59" t="s">
        <v>30</v>
      </c>
      <c r="N4" s="59" t="s">
        <v>22</v>
      </c>
      <c r="O4" s="59" t="s">
        <v>23</v>
      </c>
      <c r="P4" s="59" t="s">
        <v>20</v>
      </c>
      <c r="Q4" s="59" t="s">
        <v>20</v>
      </c>
      <c r="R4" s="59" t="s">
        <v>20</v>
      </c>
      <c r="S4" s="59" t="s">
        <v>20</v>
      </c>
      <c r="T4" s="59" t="s">
        <v>20</v>
      </c>
      <c r="U4" s="59" t="s">
        <v>20</v>
      </c>
      <c r="W4" s="60" t="s">
        <v>55</v>
      </c>
      <c r="X4" s="61" t="s">
        <v>56</v>
      </c>
      <c r="Y4" s="61" t="s">
        <v>56</v>
      </c>
    </row>
    <row r="5" spans="2:25" ht="39" thickBot="1" x14ac:dyDescent="0.3">
      <c r="B5" s="214"/>
      <c r="C5" s="211" t="s">
        <v>24</v>
      </c>
      <c r="D5" s="211"/>
      <c r="E5" s="211"/>
      <c r="F5" s="211"/>
      <c r="G5" s="211"/>
      <c r="H5" s="211"/>
      <c r="I5" s="212"/>
      <c r="L5" s="214"/>
      <c r="M5" s="210" t="s">
        <v>24</v>
      </c>
      <c r="N5" s="211"/>
      <c r="O5" s="211"/>
      <c r="P5" s="211"/>
      <c r="Q5" s="211"/>
      <c r="R5" s="211"/>
      <c r="S5" s="211"/>
      <c r="T5" s="211"/>
      <c r="U5" s="212"/>
      <c r="W5" s="60" t="s">
        <v>57</v>
      </c>
      <c r="X5" s="62"/>
      <c r="Y5" s="62"/>
    </row>
    <row r="6" spans="2:25" ht="15.75" thickBot="1" x14ac:dyDescent="0.3">
      <c r="B6" s="215"/>
      <c r="C6" s="59">
        <v>0</v>
      </c>
      <c r="D6" s="59">
        <v>0.1</v>
      </c>
      <c r="E6" s="59">
        <v>0.2</v>
      </c>
      <c r="F6" s="59">
        <v>0.3</v>
      </c>
      <c r="G6" s="59">
        <v>0.4</v>
      </c>
      <c r="H6" s="59">
        <v>0.5</v>
      </c>
      <c r="I6" s="59">
        <v>0.6</v>
      </c>
      <c r="L6" s="215"/>
      <c r="M6" s="59">
        <v>0.2</v>
      </c>
      <c r="N6" s="59">
        <v>0.3</v>
      </c>
      <c r="O6" s="59">
        <v>0.4</v>
      </c>
      <c r="P6" s="59">
        <v>0.5</v>
      </c>
      <c r="Q6" s="59">
        <v>0.6</v>
      </c>
      <c r="R6" s="59">
        <v>0.7</v>
      </c>
      <c r="S6" s="59">
        <v>0.8</v>
      </c>
      <c r="T6" s="59">
        <v>0.9</v>
      </c>
      <c r="U6" s="59">
        <v>1</v>
      </c>
      <c r="W6" s="60" t="s">
        <v>58</v>
      </c>
      <c r="X6" s="61" t="s">
        <v>56</v>
      </c>
      <c r="Y6" s="61" t="s">
        <v>59</v>
      </c>
    </row>
    <row r="7" spans="2:25" x14ac:dyDescent="0.25">
      <c r="B7" s="64">
        <v>3</v>
      </c>
      <c r="C7" s="64">
        <v>7500</v>
      </c>
      <c r="D7" s="65">
        <v>6600</v>
      </c>
      <c r="E7" s="64">
        <v>3000</v>
      </c>
      <c r="F7" s="65">
        <v>3100</v>
      </c>
      <c r="G7" s="65">
        <v>2000</v>
      </c>
      <c r="H7" s="64">
        <v>1100</v>
      </c>
      <c r="I7" s="64">
        <v>600</v>
      </c>
      <c r="L7" s="55">
        <v>1</v>
      </c>
      <c r="M7" s="66">
        <v>35</v>
      </c>
      <c r="N7" s="66">
        <v>23</v>
      </c>
      <c r="O7" s="66">
        <v>15</v>
      </c>
      <c r="P7" s="66">
        <v>12</v>
      </c>
      <c r="Q7" s="66">
        <v>8</v>
      </c>
      <c r="R7" s="66">
        <v>4</v>
      </c>
      <c r="S7" s="66">
        <v>4</v>
      </c>
      <c r="T7" s="66">
        <v>3</v>
      </c>
      <c r="U7" s="67">
        <v>2</v>
      </c>
      <c r="W7" s="60" t="s">
        <v>60</v>
      </c>
      <c r="X7" s="61" t="s">
        <v>56</v>
      </c>
      <c r="Y7" s="61" t="s">
        <v>61</v>
      </c>
    </row>
    <row r="8" spans="2:25" ht="25.5" x14ac:dyDescent="0.25">
      <c r="B8" s="68">
        <v>4</v>
      </c>
      <c r="C8" s="68">
        <v>8300</v>
      </c>
      <c r="D8" s="69">
        <v>6800</v>
      </c>
      <c r="E8" s="68">
        <v>3800</v>
      </c>
      <c r="F8" s="69">
        <v>3200</v>
      </c>
      <c r="G8" s="69">
        <v>2100</v>
      </c>
      <c r="H8" s="68">
        <v>1250</v>
      </c>
      <c r="I8" s="68">
        <v>700</v>
      </c>
      <c r="L8" s="57">
        <v>2</v>
      </c>
      <c r="M8" s="70">
        <v>42</v>
      </c>
      <c r="N8" s="70">
        <v>30</v>
      </c>
      <c r="O8" s="70">
        <v>21</v>
      </c>
      <c r="P8" s="70">
        <v>17</v>
      </c>
      <c r="Q8" s="70">
        <v>12</v>
      </c>
      <c r="R8" s="70">
        <v>7</v>
      </c>
      <c r="S8" s="70">
        <v>5</v>
      </c>
      <c r="T8" s="70">
        <v>4</v>
      </c>
      <c r="U8" s="70">
        <v>4</v>
      </c>
      <c r="W8" s="60" t="s">
        <v>62</v>
      </c>
      <c r="X8" s="61" t="s">
        <v>56</v>
      </c>
      <c r="Y8" s="61" t="s">
        <v>56</v>
      </c>
    </row>
    <row r="9" spans="2:25" ht="25.5" x14ac:dyDescent="0.25">
      <c r="B9" s="68">
        <v>5</v>
      </c>
      <c r="C9" s="68">
        <v>8800</v>
      </c>
      <c r="D9" s="69">
        <v>7000</v>
      </c>
      <c r="E9" s="68">
        <v>4000</v>
      </c>
      <c r="F9" s="69">
        <v>3400</v>
      </c>
      <c r="G9" s="69">
        <v>2200</v>
      </c>
      <c r="H9" s="68">
        <v>1300</v>
      </c>
      <c r="I9" s="68">
        <v>800</v>
      </c>
      <c r="L9" s="57">
        <v>3</v>
      </c>
      <c r="M9" s="70">
        <v>48</v>
      </c>
      <c r="N9" s="70">
        <v>35</v>
      </c>
      <c r="O9" s="70">
        <v>25</v>
      </c>
      <c r="P9" s="70">
        <v>20</v>
      </c>
      <c r="Q9" s="70">
        <v>14</v>
      </c>
      <c r="R9" s="70">
        <v>8</v>
      </c>
      <c r="S9" s="70">
        <v>7</v>
      </c>
      <c r="T9" s="70">
        <v>6</v>
      </c>
      <c r="U9" s="70">
        <v>5</v>
      </c>
      <c r="W9" s="60" t="s">
        <v>63</v>
      </c>
      <c r="X9" s="61" t="s">
        <v>56</v>
      </c>
      <c r="Y9" s="61" t="s">
        <v>64</v>
      </c>
    </row>
    <row r="10" spans="2:25" ht="25.5" x14ac:dyDescent="0.25">
      <c r="B10" s="68">
        <v>7</v>
      </c>
      <c r="C10" s="68">
        <v>9700</v>
      </c>
      <c r="D10" s="69">
        <v>7300</v>
      </c>
      <c r="E10" s="68">
        <v>4300</v>
      </c>
      <c r="F10" s="69">
        <v>3700</v>
      </c>
      <c r="G10" s="69">
        <v>2400</v>
      </c>
      <c r="H10" s="68">
        <v>1400</v>
      </c>
      <c r="I10" s="68">
        <v>850</v>
      </c>
      <c r="L10" s="57">
        <v>4</v>
      </c>
      <c r="M10" s="70">
        <v>53</v>
      </c>
      <c r="N10" s="70">
        <v>38</v>
      </c>
      <c r="O10" s="70">
        <v>27</v>
      </c>
      <c r="P10" s="70">
        <v>22</v>
      </c>
      <c r="Q10" s="70">
        <v>16</v>
      </c>
      <c r="R10" s="70">
        <v>9</v>
      </c>
      <c r="S10" s="70">
        <v>8</v>
      </c>
      <c r="T10" s="70">
        <v>7</v>
      </c>
      <c r="U10" s="70">
        <v>5</v>
      </c>
      <c r="W10" s="60" t="s">
        <v>65</v>
      </c>
      <c r="X10" s="62"/>
      <c r="Y10" s="62"/>
    </row>
    <row r="11" spans="2:25" x14ac:dyDescent="0.25">
      <c r="B11" s="68">
        <v>10</v>
      </c>
      <c r="C11" s="68">
        <v>10500</v>
      </c>
      <c r="D11" s="69">
        <v>7700</v>
      </c>
      <c r="E11" s="68">
        <v>5000</v>
      </c>
      <c r="F11" s="69">
        <v>4000</v>
      </c>
      <c r="G11" s="69">
        <v>2600</v>
      </c>
      <c r="H11" s="68">
        <v>1500</v>
      </c>
      <c r="I11" s="68">
        <v>900</v>
      </c>
      <c r="L11" s="57">
        <v>5</v>
      </c>
      <c r="M11" s="70">
        <v>56</v>
      </c>
      <c r="N11" s="70">
        <v>40</v>
      </c>
      <c r="O11" s="70">
        <v>29</v>
      </c>
      <c r="P11" s="70">
        <v>24</v>
      </c>
      <c r="Q11" s="70">
        <v>17</v>
      </c>
      <c r="R11" s="70">
        <v>10</v>
      </c>
      <c r="S11" s="70">
        <v>8</v>
      </c>
      <c r="T11" s="70">
        <v>7</v>
      </c>
      <c r="U11" s="70">
        <v>6</v>
      </c>
      <c r="W11" s="60" t="s">
        <v>66</v>
      </c>
      <c r="X11" s="62"/>
      <c r="Y11" s="62"/>
    </row>
    <row r="12" spans="2:25" x14ac:dyDescent="0.25">
      <c r="B12" s="68">
        <v>15</v>
      </c>
      <c r="C12" s="68">
        <v>11700</v>
      </c>
      <c r="D12" s="69">
        <v>8200</v>
      </c>
      <c r="E12" s="68">
        <v>5600</v>
      </c>
      <c r="F12" s="69">
        <v>4400</v>
      </c>
      <c r="G12" s="68">
        <v>2900</v>
      </c>
      <c r="H12" s="68">
        <v>1650</v>
      </c>
      <c r="I12" s="68">
        <v>1000</v>
      </c>
      <c r="L12" s="57">
        <v>6</v>
      </c>
      <c r="M12" s="70">
        <v>58</v>
      </c>
      <c r="N12" s="70">
        <v>42</v>
      </c>
      <c r="O12" s="70">
        <v>31</v>
      </c>
      <c r="P12" s="70">
        <v>25</v>
      </c>
      <c r="Q12" s="70">
        <v>18</v>
      </c>
      <c r="R12" s="70">
        <v>10</v>
      </c>
      <c r="S12" s="70">
        <v>8</v>
      </c>
      <c r="T12" s="70">
        <v>7</v>
      </c>
      <c r="U12" s="70">
        <v>6</v>
      </c>
      <c r="W12" s="60" t="s">
        <v>67</v>
      </c>
      <c r="X12" s="61" t="s">
        <v>68</v>
      </c>
      <c r="Y12" s="61" t="s">
        <v>56</v>
      </c>
    </row>
    <row r="13" spans="2:25" x14ac:dyDescent="0.25">
      <c r="B13" s="68">
        <v>20</v>
      </c>
      <c r="C13" s="68">
        <v>12600</v>
      </c>
      <c r="D13" s="68">
        <v>8500</v>
      </c>
      <c r="E13" s="68">
        <v>6200</v>
      </c>
      <c r="F13" s="69">
        <v>4800</v>
      </c>
      <c r="G13" s="68">
        <v>3200</v>
      </c>
      <c r="H13" s="68">
        <v>1800</v>
      </c>
      <c r="I13" s="68">
        <v>1100</v>
      </c>
      <c r="L13" s="57">
        <v>8</v>
      </c>
      <c r="M13" s="70">
        <v>62</v>
      </c>
      <c r="N13" s="70">
        <v>44</v>
      </c>
      <c r="O13" s="70">
        <v>33</v>
      </c>
      <c r="P13" s="70">
        <v>26</v>
      </c>
      <c r="Q13" s="70">
        <v>19</v>
      </c>
      <c r="R13" s="70">
        <v>10</v>
      </c>
      <c r="S13" s="70">
        <v>8</v>
      </c>
      <c r="T13" s="70">
        <v>7</v>
      </c>
      <c r="U13" s="70">
        <v>6</v>
      </c>
      <c r="W13" s="60" t="s">
        <v>69</v>
      </c>
      <c r="X13" s="61" t="s">
        <v>70</v>
      </c>
      <c r="Y13" s="61" t="s">
        <v>56</v>
      </c>
    </row>
    <row r="14" spans="2:25" x14ac:dyDescent="0.25">
      <c r="B14" s="68">
        <v>25</v>
      </c>
      <c r="C14" s="69">
        <v>13400</v>
      </c>
      <c r="D14" s="69">
        <v>9000</v>
      </c>
      <c r="E14" s="69">
        <v>6800</v>
      </c>
      <c r="F14" s="69">
        <v>5200</v>
      </c>
      <c r="G14" s="69">
        <v>3500</v>
      </c>
      <c r="H14" s="69">
        <v>1950</v>
      </c>
      <c r="I14" s="69">
        <v>1200</v>
      </c>
      <c r="L14" s="57">
        <v>10</v>
      </c>
      <c r="M14" s="70">
        <v>65</v>
      </c>
      <c r="N14" s="70">
        <v>46</v>
      </c>
      <c r="O14" s="70">
        <v>34</v>
      </c>
      <c r="P14" s="70">
        <v>27</v>
      </c>
      <c r="Q14" s="70">
        <v>19</v>
      </c>
      <c r="R14" s="70">
        <v>10</v>
      </c>
      <c r="S14" s="70">
        <v>8</v>
      </c>
      <c r="T14" s="70">
        <v>7</v>
      </c>
      <c r="U14" s="70">
        <v>6</v>
      </c>
      <c r="W14" s="60" t="s">
        <v>71</v>
      </c>
      <c r="X14" s="61" t="s">
        <v>56</v>
      </c>
      <c r="Y14" s="61" t="s">
        <v>56</v>
      </c>
    </row>
    <row r="15" spans="2:25" x14ac:dyDescent="0.25">
      <c r="B15" s="68">
        <v>30</v>
      </c>
      <c r="C15" s="69">
        <v>14200</v>
      </c>
      <c r="D15" s="69">
        <v>9500</v>
      </c>
      <c r="E15" s="69">
        <v>7400</v>
      </c>
      <c r="F15" s="69">
        <v>5600</v>
      </c>
      <c r="G15" s="69">
        <v>3800</v>
      </c>
      <c r="H15" s="69">
        <v>2100</v>
      </c>
      <c r="I15" s="69">
        <v>1300</v>
      </c>
      <c r="L15" s="57">
        <v>15</v>
      </c>
      <c r="M15" s="70">
        <v>72</v>
      </c>
      <c r="N15" s="70">
        <v>51</v>
      </c>
      <c r="O15" s="70">
        <v>38</v>
      </c>
      <c r="P15" s="70">
        <v>28</v>
      </c>
      <c r="Q15" s="70">
        <v>20</v>
      </c>
      <c r="R15" s="70">
        <v>11</v>
      </c>
      <c r="S15" s="70">
        <v>8</v>
      </c>
      <c r="T15" s="70">
        <v>7</v>
      </c>
      <c r="U15" s="70">
        <v>6</v>
      </c>
      <c r="W15" s="60" t="s">
        <v>72</v>
      </c>
      <c r="X15" s="62"/>
      <c r="Y15" s="62"/>
    </row>
    <row r="16" spans="2:25" ht="15.75" thickBot="1" x14ac:dyDescent="0.3">
      <c r="B16" s="71">
        <v>35</v>
      </c>
      <c r="C16" s="72">
        <v>15000</v>
      </c>
      <c r="D16" s="72">
        <v>10000</v>
      </c>
      <c r="E16" s="72">
        <v>8000</v>
      </c>
      <c r="F16" s="72">
        <v>6000</v>
      </c>
      <c r="G16" s="72">
        <v>4100</v>
      </c>
      <c r="H16" s="72">
        <v>2250</v>
      </c>
      <c r="I16" s="72">
        <v>1400</v>
      </c>
      <c r="L16" s="57">
        <v>20</v>
      </c>
      <c r="M16" s="70">
        <v>79</v>
      </c>
      <c r="N16" s="70">
        <v>56</v>
      </c>
      <c r="O16" s="70">
        <v>41</v>
      </c>
      <c r="P16" s="70">
        <v>30</v>
      </c>
      <c r="Q16" s="70">
        <v>20</v>
      </c>
      <c r="R16" s="70">
        <v>12</v>
      </c>
      <c r="S16" s="70">
        <v>8</v>
      </c>
      <c r="T16" s="70">
        <v>7</v>
      </c>
      <c r="U16" s="70">
        <v>6</v>
      </c>
      <c r="W16" s="60" t="s">
        <v>73</v>
      </c>
      <c r="X16" s="61" t="s">
        <v>64</v>
      </c>
      <c r="Y16" s="61" t="s">
        <v>64</v>
      </c>
    </row>
    <row r="17" spans="2:25" ht="15.75" thickBot="1" x14ac:dyDescent="0.3">
      <c r="B17" s="73"/>
      <c r="C17" s="74">
        <v>1</v>
      </c>
      <c r="D17" s="74">
        <v>2</v>
      </c>
      <c r="E17" s="74">
        <v>3</v>
      </c>
      <c r="F17" s="74">
        <v>4</v>
      </c>
      <c r="G17" s="74">
        <v>5</v>
      </c>
      <c r="H17" s="74">
        <v>6</v>
      </c>
      <c r="I17" s="74">
        <v>7</v>
      </c>
      <c r="L17" s="57">
        <v>25</v>
      </c>
      <c r="M17" s="70">
        <v>86</v>
      </c>
      <c r="N17" s="70">
        <v>61</v>
      </c>
      <c r="O17" s="70">
        <v>44</v>
      </c>
      <c r="P17" s="70">
        <v>32</v>
      </c>
      <c r="Q17" s="70">
        <v>20</v>
      </c>
      <c r="R17" s="70">
        <v>12</v>
      </c>
      <c r="S17" s="70">
        <v>8</v>
      </c>
      <c r="T17" s="70">
        <v>7</v>
      </c>
      <c r="U17" s="70">
        <v>6</v>
      </c>
      <c r="W17" s="60" t="s">
        <v>74</v>
      </c>
      <c r="X17" s="61" t="s">
        <v>75</v>
      </c>
      <c r="Y17" s="61" t="s">
        <v>64</v>
      </c>
    </row>
    <row r="18" spans="2:25" x14ac:dyDescent="0.25">
      <c r="L18" s="57">
        <v>30</v>
      </c>
      <c r="M18" s="70">
        <v>93</v>
      </c>
      <c r="N18" s="70">
        <v>66</v>
      </c>
      <c r="O18" s="70">
        <v>47</v>
      </c>
      <c r="P18" s="70">
        <v>34</v>
      </c>
      <c r="Q18" s="70">
        <v>21</v>
      </c>
      <c r="R18" s="70">
        <v>12</v>
      </c>
      <c r="S18" s="70">
        <v>9</v>
      </c>
      <c r="T18" s="70">
        <v>8</v>
      </c>
      <c r="U18" s="70">
        <v>7</v>
      </c>
      <c r="W18" s="60" t="s">
        <v>76</v>
      </c>
      <c r="X18" s="61" t="s">
        <v>77</v>
      </c>
      <c r="Y18" s="61" t="s">
        <v>64</v>
      </c>
    </row>
    <row r="19" spans="2:25" ht="15.75" thickBot="1" x14ac:dyDescent="0.3">
      <c r="L19" s="63">
        <v>35</v>
      </c>
      <c r="M19" s="59">
        <v>100</v>
      </c>
      <c r="N19" s="59">
        <v>70</v>
      </c>
      <c r="O19" s="59">
        <v>50</v>
      </c>
      <c r="P19" s="59">
        <v>36</v>
      </c>
      <c r="Q19" s="59">
        <v>22</v>
      </c>
      <c r="R19" s="59">
        <v>13</v>
      </c>
      <c r="S19" s="59">
        <v>9</v>
      </c>
      <c r="T19" s="59">
        <v>8</v>
      </c>
      <c r="U19" s="59">
        <v>7</v>
      </c>
      <c r="W19" s="60" t="s">
        <v>78</v>
      </c>
      <c r="X19" s="61" t="s">
        <v>56</v>
      </c>
      <c r="Y19" s="61" t="s">
        <v>56</v>
      </c>
    </row>
    <row r="20" spans="2:25" ht="26.25" thickBot="1" x14ac:dyDescent="0.3">
      <c r="B20" s="75" t="s">
        <v>36</v>
      </c>
      <c r="C20" s="76"/>
      <c r="D20" s="85">
        <v>3</v>
      </c>
      <c r="N20" s="77"/>
      <c r="O20" s="77"/>
      <c r="P20" s="77"/>
      <c r="W20" s="60" t="s">
        <v>79</v>
      </c>
      <c r="X20" s="62"/>
      <c r="Y20" s="62"/>
    </row>
    <row r="21" spans="2:25" ht="15.75" thickBot="1" x14ac:dyDescent="0.3">
      <c r="W21" s="60" t="s">
        <v>80</v>
      </c>
      <c r="X21" s="61" t="s">
        <v>56</v>
      </c>
      <c r="Y21" s="61" t="s">
        <v>56</v>
      </c>
    </row>
    <row r="22" spans="2:25" ht="15.75" thickBot="1" x14ac:dyDescent="0.3">
      <c r="B22" s="78" t="s">
        <v>26</v>
      </c>
      <c r="C22" s="79">
        <f>IF(D22&gt;=B16,B16,IF(D22&lt;=B7,B7,INDEX(B7:B16,MATCH(D22,B7:B16,1))))</f>
        <v>25</v>
      </c>
      <c r="D22" s="85">
        <v>25</v>
      </c>
      <c r="E22" s="80">
        <f>IF(D22&gt;=B16,B16,IF(D22&lt;=B7,B7,IF(D22=C22,D22,INDEX(B7:B16,MATCH(D22,B7:B16,1)+1))))</f>
        <v>25</v>
      </c>
      <c r="L22" s="149" t="s">
        <v>32</v>
      </c>
      <c r="M22" s="149"/>
      <c r="N22" s="149"/>
      <c r="O22" s="149"/>
      <c r="W22" s="60" t="s">
        <v>81</v>
      </c>
      <c r="X22" s="61" t="s">
        <v>77</v>
      </c>
      <c r="Y22" s="61" t="s">
        <v>56</v>
      </c>
    </row>
    <row r="23" spans="2:25" ht="66" thickBot="1" x14ac:dyDescent="0.3">
      <c r="B23" s="78" t="s">
        <v>2</v>
      </c>
      <c r="C23" s="79">
        <f>INDEX(C7:I16,MATCH(C22,B7:B16,0),MATCH(D20,C17:I17,0))</f>
        <v>6800</v>
      </c>
      <c r="D23" s="29">
        <f>IF(C23=E23,C23,(E23-C23)/(E22-C22)*(D22-C22)+C23)</f>
        <v>6800</v>
      </c>
      <c r="E23" s="80">
        <f>INDEX(C7:I16,MATCH(E22,B7:B16,0),MATCH(D20,C17:I17,0))</f>
        <v>6800</v>
      </c>
      <c r="L23" s="18" t="s">
        <v>26</v>
      </c>
      <c r="M23" s="150" t="s">
        <v>31</v>
      </c>
      <c r="N23" s="151"/>
      <c r="O23" s="152"/>
      <c r="W23" s="60" t="s">
        <v>82</v>
      </c>
      <c r="X23" s="62"/>
      <c r="Y23" s="62"/>
    </row>
    <row r="24" spans="2:25" ht="15.75" thickBot="1" x14ac:dyDescent="0.3">
      <c r="L24" s="19"/>
      <c r="M24" s="20">
        <f>IF(N24&lt;=Таблицы!$M$6,Таблицы!$M$6,IF(N24&gt;=Таблицы!$U$6,Таблицы!$U$6,INDEX(Таблицы!$M$6:$U$6,,MATCH(N24,Таблицы!$M$6:$U$6,1))))</f>
        <v>0.5</v>
      </c>
      <c r="N24" s="84">
        <v>0.55000000000000004</v>
      </c>
      <c r="O24" s="22">
        <f>IF(N24&lt;=Таблицы!$M$6,$M$6,IF(N24&gt;=Таблицы!$U$6,Таблицы!$U$6,IF(N24=M24,N24,INDEX(Таблицы!$M$6:$U$6,,MATCH(N24,Таблицы!$M$6:$U$6,1)+1))))</f>
        <v>0.6</v>
      </c>
      <c r="Q24" s="17">
        <f>Таблицы!S24</f>
        <v>0</v>
      </c>
      <c r="W24" s="60" t="s">
        <v>83</v>
      </c>
      <c r="X24" s="61" t="s">
        <v>64</v>
      </c>
      <c r="Y24" s="61" t="s">
        <v>56</v>
      </c>
    </row>
    <row r="25" spans="2:25" x14ac:dyDescent="0.25">
      <c r="B25" s="81" t="s">
        <v>33</v>
      </c>
      <c r="L25" s="23">
        <f>IF(L26&gt;=Таблицы!$L$19,Таблицы!$L$19,IF(L26&lt;=Таблицы!$L$7,Таблицы!$L$7,INDEX(Таблицы!$L$7:$L$19,MATCH(L26,Таблицы!$L$7:$L$19,1))))</f>
        <v>1</v>
      </c>
      <c r="M25" s="24">
        <f>INDEX(Таблицы!$M$7:$U$19,MATCH(L25,Таблицы!$L$7:$L$19),MATCH(M24,Таблицы!$M$6:$U$6))</f>
        <v>12</v>
      </c>
      <c r="N25" s="25">
        <f>IF(M25=O25,M25,(O25-M25)/(O24-M24)*(N24-M24)+M25)</f>
        <v>9.9999999999999982</v>
      </c>
      <c r="O25" s="26">
        <f>INDEX(Таблицы!$M$7:$U$19,MATCH(L25,Таблицы!$L$7:$L$19),MATCH(O24,Таблицы!$M$6:$U$6))</f>
        <v>8</v>
      </c>
      <c r="W25" s="60" t="s">
        <v>84</v>
      </c>
      <c r="X25" s="61" t="s">
        <v>75</v>
      </c>
      <c r="Y25" s="61" t="s">
        <v>56</v>
      </c>
    </row>
    <row r="26" spans="2:25" x14ac:dyDescent="0.25">
      <c r="B26" s="73" t="s">
        <v>34</v>
      </c>
      <c r="L26" s="83">
        <v>1.5</v>
      </c>
      <c r="M26" s="28">
        <f>IF(M25=M27,M25,(M27-M25)/(L27-L25)*(L26-L25)+M25)</f>
        <v>14.5</v>
      </c>
      <c r="N26" s="29">
        <f>IF(M26=O26,M26,(O26-M26)/(O24-M24)*(N24-M24)+M26)</f>
        <v>12.249999999999998</v>
      </c>
      <c r="O26" s="30">
        <f>IF(O25=O27,O25,(O27-O25)/(L27-L25)*(L26-L25)+O25)</f>
        <v>10</v>
      </c>
      <c r="W26" s="60" t="s">
        <v>85</v>
      </c>
      <c r="X26" s="61" t="s">
        <v>77</v>
      </c>
      <c r="Y26" s="61" t="s">
        <v>56</v>
      </c>
    </row>
    <row r="27" spans="2:25" ht="15.75" thickBot="1" x14ac:dyDescent="0.3">
      <c r="B27" s="82" t="s">
        <v>35</v>
      </c>
      <c r="L27" s="31">
        <f>IF(L26&gt;=Таблицы!$L$19,Таблицы!$L$19,IF(L26&lt;=Таблицы!$L$7,Таблицы!$L$7,IF(L26=L25,L26,INDEX(Таблицы!$L$7:$L$19,MATCH(L26,Таблицы!$L$7:$L$19,1)+1))))</f>
        <v>2</v>
      </c>
      <c r="M27" s="32">
        <f>INDEX(Таблицы!$M$7:$U$19,MATCH(L27,Таблицы!$L$7:$L$19),MATCH(M24,Таблицы!$M$6:$U$6))</f>
        <v>17</v>
      </c>
      <c r="N27" s="33">
        <f>IF(M27=O27,M27,(O27-M27)/(O24-M24)*(N24-M24)+M27)</f>
        <v>14.499999999999996</v>
      </c>
      <c r="O27" s="34">
        <f>INDEX(Таблицы!$M$7:$U$19,MATCH(L27,Таблицы!$L$7:$L$19),MATCH(O24,Таблицы!$M$6:$U$6))</f>
        <v>12</v>
      </c>
      <c r="W27" s="60" t="s">
        <v>86</v>
      </c>
      <c r="X27" s="62"/>
      <c r="Y27" s="62"/>
    </row>
    <row r="28" spans="2:25" x14ac:dyDescent="0.25">
      <c r="W28" s="60" t="s">
        <v>87</v>
      </c>
      <c r="X28" s="61" t="s">
        <v>70</v>
      </c>
      <c r="Y28" s="61" t="s">
        <v>56</v>
      </c>
    </row>
    <row r="29" spans="2:25" x14ac:dyDescent="0.25">
      <c r="L29" s="81" t="s">
        <v>33</v>
      </c>
      <c r="W29" s="60" t="s">
        <v>88</v>
      </c>
      <c r="X29" s="61" t="s">
        <v>70</v>
      </c>
      <c r="Y29" s="61" t="s">
        <v>75</v>
      </c>
    </row>
    <row r="30" spans="2:25" ht="15.75" thickBot="1" x14ac:dyDescent="0.3">
      <c r="B30" s="149" t="s">
        <v>32</v>
      </c>
      <c r="C30" s="149"/>
      <c r="D30" s="149"/>
      <c r="E30" s="149"/>
      <c r="L30" s="73" t="s">
        <v>34</v>
      </c>
      <c r="W30" s="60" t="s">
        <v>89</v>
      </c>
      <c r="X30" s="61" t="s">
        <v>70</v>
      </c>
      <c r="Y30" s="61" t="s">
        <v>56</v>
      </c>
    </row>
    <row r="31" spans="2:25" ht="15.75" thickBot="1" x14ac:dyDescent="0.3">
      <c r="B31" s="18" t="s">
        <v>26</v>
      </c>
      <c r="C31" s="150" t="s">
        <v>31</v>
      </c>
      <c r="D31" s="151"/>
      <c r="E31" s="152"/>
      <c r="L31" s="82" t="s">
        <v>35</v>
      </c>
      <c r="W31" s="60" t="s">
        <v>90</v>
      </c>
      <c r="X31" s="61" t="s">
        <v>56</v>
      </c>
      <c r="Y31" s="61" t="s">
        <v>56</v>
      </c>
    </row>
    <row r="32" spans="2:25" ht="30.75" customHeight="1" thickBot="1" x14ac:dyDescent="0.3">
      <c r="B32" s="19"/>
      <c r="C32" s="20">
        <f>IF(D32&lt;=Таблицы!$C$6,Таблицы!$C$6,IF(D32&gt;=Таблицы!$I$6,Таблицы!$I$6,INDEX(Таблицы!$C$6:$I$6,,MATCH(D32,Таблицы!$C$6:$I$6,1))))</f>
        <v>0.6</v>
      </c>
      <c r="D32" s="84">
        <v>0.7</v>
      </c>
      <c r="E32" s="22">
        <f>IF(D32&lt;=Таблицы!$C$6,$C$6,IF(D32&gt;=Таблицы!$I$6,Таблицы!$I$6,IF(D32=C32,D32,INDEX(Таблицы!$C$6:$I$6,,MATCH(D32,Таблицы!$C$6:$I$6,1)+1))))</f>
        <v>0.6</v>
      </c>
      <c r="W32" s="207" t="s">
        <v>91</v>
      </c>
      <c r="X32" s="208"/>
      <c r="Y32" s="209"/>
    </row>
    <row r="33" spans="2:9" x14ac:dyDescent="0.25">
      <c r="B33" s="23">
        <f>IF(B34&gt;=Таблицы!$B$16,Таблицы!$B$16,IF(B34&lt;=Таблицы!$B$7,Таблицы!$B$7,INDEX(Таблицы!$B$7:$B$16,MATCH(B34,Таблицы!$B$7:$B$16,1))))</f>
        <v>25</v>
      </c>
      <c r="C33" s="24">
        <f>INDEX(Таблицы!$C$7:$I$16,MATCH(B33,Таблицы!$B$7:$B$16),MATCH(C32,Таблицы!$C$6:$I$6))</f>
        <v>1200</v>
      </c>
      <c r="D33" s="25">
        <f>IF(C33=E33,C33,(E33-C33)/(E32-C32)*(D32-C32)+C33)</f>
        <v>1200</v>
      </c>
      <c r="E33" s="26">
        <f>INDEX(Таблицы!$C$7:$I$16,MATCH(B33,Таблицы!$B$7:$B$16),MATCH(E32,Таблицы!$C$6:$I$6))</f>
        <v>1200</v>
      </c>
    </row>
    <row r="34" spans="2:9" x14ac:dyDescent="0.25">
      <c r="B34" s="83">
        <v>28</v>
      </c>
      <c r="C34" s="28">
        <f>IF(C33=C35,C33,(C35-C33)/(B35-B33)*(B34-B33)+C33)</f>
        <v>1260</v>
      </c>
      <c r="D34" s="29">
        <f>IF(C34=E34,C34,(E34-C34)/(E32-C32)*(D32-C32)+C34)</f>
        <v>1260</v>
      </c>
      <c r="E34" s="30">
        <f>IF(C33=C35,C33,(E35-E33)/(B35-B33)*(B34-B33)+E33)</f>
        <v>1260</v>
      </c>
    </row>
    <row r="35" spans="2:9" ht="15.75" thickBot="1" x14ac:dyDescent="0.3">
      <c r="B35" s="31">
        <f>IF(B34&gt;=Таблицы!$B$16,Таблицы!$B$16,IF(B34&lt;=Таблицы!$B$7,Таблицы!$B$7,IF(B34=B33,B34,INDEX(Таблицы!$B$7:$B$16,MATCH(B34,Таблицы!$B$7:$B$16,1)+1))))</f>
        <v>30</v>
      </c>
      <c r="C35" s="32">
        <f>INDEX(Таблицы!$C$7:$I$17,MATCH(B35,Таблицы!$B$7:$B$16),MATCH(C32,Таблицы!$C$6:$I$6))</f>
        <v>1300</v>
      </c>
      <c r="D35" s="33">
        <f>IF(C35=E35,C35,(E35-C35)/(E32-C32)*(D32-C32)+C35)</f>
        <v>1300</v>
      </c>
      <c r="E35" s="34">
        <f>INDEX(Таблицы!$C$7:$I$16,MATCH(B35,Таблицы!$B$7:$B$16),MATCH(E32,Таблицы!$C$6:$I$6))</f>
        <v>1300</v>
      </c>
    </row>
    <row r="38" spans="2:9" x14ac:dyDescent="0.25">
      <c r="B38" s="12" t="s">
        <v>116</v>
      </c>
      <c r="C38" s="12"/>
      <c r="D38" s="12"/>
      <c r="E38" s="12"/>
      <c r="F38" s="12"/>
      <c r="G38" s="12"/>
      <c r="H38" s="12">
        <v>1</v>
      </c>
      <c r="I38" s="12">
        <v>1</v>
      </c>
    </row>
    <row r="39" spans="2:9" x14ac:dyDescent="0.25">
      <c r="B39" s="12" t="s">
        <v>117</v>
      </c>
      <c r="C39" s="12"/>
      <c r="D39" s="12"/>
      <c r="F39" s="12"/>
      <c r="G39" s="12"/>
      <c r="H39" s="12">
        <v>2</v>
      </c>
      <c r="I39" s="12">
        <v>1</v>
      </c>
    </row>
    <row r="40" spans="2:9" x14ac:dyDescent="0.25">
      <c r="B40" s="12" t="s">
        <v>118</v>
      </c>
      <c r="C40" s="12"/>
      <c r="D40" s="12"/>
      <c r="E40" s="12"/>
      <c r="F40" s="12"/>
      <c r="G40" s="12"/>
      <c r="H40" s="12">
        <v>3</v>
      </c>
      <c r="I40" s="12">
        <v>2.2999999999999998</v>
      </c>
    </row>
    <row r="41" spans="2:9" x14ac:dyDescent="0.25">
      <c r="B41" s="12" t="s">
        <v>119</v>
      </c>
      <c r="C41" s="12"/>
      <c r="D41" s="12"/>
      <c r="E41" s="12"/>
      <c r="F41" s="12"/>
      <c r="G41" s="12"/>
      <c r="H41" s="12">
        <v>4</v>
      </c>
      <c r="I41" s="12">
        <v>2</v>
      </c>
    </row>
    <row r="42" spans="2:9" x14ac:dyDescent="0.25">
      <c r="B42" s="12" t="s">
        <v>120</v>
      </c>
      <c r="C42" s="12"/>
      <c r="D42" s="12"/>
      <c r="E42" s="12"/>
      <c r="F42" s="12"/>
      <c r="G42" s="12"/>
      <c r="H42" s="12">
        <v>5</v>
      </c>
      <c r="I42" s="12">
        <v>1</v>
      </c>
    </row>
    <row r="43" spans="2:9" x14ac:dyDescent="0.25">
      <c r="B43" s="12" t="s">
        <v>121</v>
      </c>
      <c r="C43" s="12"/>
      <c r="D43" s="12"/>
      <c r="E43" s="12"/>
      <c r="F43" s="12"/>
      <c r="G43" s="12"/>
      <c r="H43" s="12">
        <v>6</v>
      </c>
      <c r="I43" s="12">
        <v>1</v>
      </c>
    </row>
    <row r="44" spans="2:9" x14ac:dyDescent="0.25">
      <c r="B44" s="12" t="s">
        <v>122</v>
      </c>
      <c r="C44" s="12"/>
      <c r="D44" s="12"/>
      <c r="E44" s="12"/>
      <c r="F44" s="12"/>
      <c r="G44" s="12"/>
      <c r="H44" s="12">
        <v>7</v>
      </c>
      <c r="I44" s="12">
        <v>1.75</v>
      </c>
    </row>
    <row r="45" spans="2:9" x14ac:dyDescent="0.25">
      <c r="B45" s="12" t="s">
        <v>123</v>
      </c>
      <c r="C45" s="12"/>
      <c r="D45" s="12"/>
      <c r="E45" s="12"/>
      <c r="F45" s="12"/>
      <c r="G45" s="12"/>
      <c r="H45" s="12">
        <v>8</v>
      </c>
      <c r="I45" s="12">
        <v>1.6</v>
      </c>
    </row>
  </sheetData>
  <sheetProtection algorithmName="SHA-512" hashValue="NpjTmBEHB1emzHTIKFMh1GZL6LDafpqEO56STuDVnPP1Yw8GjaLaT+CFl3yztKTGYNEZx3ulDNK2UUk4mrzvCQ==" saltValue="kzRD5HUx2tkqdJq27EIT5g==" spinCount="100000" sheet="1" scenarios="1" autoFilter="0"/>
  <mergeCells count="15">
    <mergeCell ref="W2:W3"/>
    <mergeCell ref="X2:Y2"/>
    <mergeCell ref="W32:Y32"/>
    <mergeCell ref="M3:U3"/>
    <mergeCell ref="C5:I5"/>
    <mergeCell ref="M23:O23"/>
    <mergeCell ref="M5:U5"/>
    <mergeCell ref="L2:L6"/>
    <mergeCell ref="L22:O22"/>
    <mergeCell ref="M2:U2"/>
    <mergeCell ref="B30:E30"/>
    <mergeCell ref="C31:E31"/>
    <mergeCell ref="B2:B6"/>
    <mergeCell ref="C2:I2"/>
    <mergeCell ref="C3:I3"/>
  </mergeCells>
  <phoneticPr fontId="10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4</vt:i4>
      </vt:variant>
    </vt:vector>
  </HeadingPairs>
  <TitlesOfParts>
    <vt:vector size="8" baseType="lpstr">
      <vt:lpstr>Оп1</vt:lpstr>
      <vt:lpstr>Оп2</vt:lpstr>
      <vt:lpstr>Сводная</vt:lpstr>
      <vt:lpstr>Таблицы</vt:lpstr>
      <vt:lpstr>Таблицы!_TO0000003</vt:lpstr>
      <vt:lpstr>Таблицы!_TO0000004</vt:lpstr>
      <vt:lpstr>Оп1!Область_печати</vt:lpstr>
      <vt:lpstr>Оп2!Область_печати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Красов Сергей Владимирович</dc:creator>
  <cp:lastModifiedBy>Валерий Гурин</cp:lastModifiedBy>
  <cp:lastPrinted>2020-08-13T03:43:13Z</cp:lastPrinted>
  <dcterms:created xsi:type="dcterms:W3CDTF">2013-01-25T02:28:01Z</dcterms:created>
  <dcterms:modified xsi:type="dcterms:W3CDTF">2025-04-13T10:00:39Z</dcterms:modified>
</cp:coreProperties>
</file>