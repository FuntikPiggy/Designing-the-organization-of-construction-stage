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gurin\OneDrive\Рабочий стол\Репозиторий ПОС\"/>
    </mc:Choice>
  </mc:AlternateContent>
  <xr:revisionPtr revIDLastSave="0" documentId="8_{63E7E9C5-411F-4BC2-9F84-7756FC75500D}" xr6:coauthVersionLast="47" xr6:coauthVersionMax="47" xr10:uidLastSave="{00000000-0000-0000-0000-000000000000}"/>
  <bookViews>
    <workbookView xWindow="-25320" yWindow="-120" windowWidth="25440" windowHeight="15270" xr2:uid="{C4E21307-6960-4EF3-B486-703C72616225}"/>
  </bookViews>
  <sheets>
    <sheet name="Лист1" sheetId="1" r:id="rId1"/>
    <sheet name="Сталь" sheetId="4" r:id="rId2"/>
    <sheet name="Двутавры" sheetId="3" state="veryHidden" r:id="rId3"/>
    <sheet name="Швеллеры" sheetId="5" state="very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1" l="1"/>
  <c r="F6" i="1"/>
  <c r="B11" i="1"/>
  <c r="F12" i="1"/>
  <c r="C13" i="1" l="1"/>
  <c r="C14" i="1" s="1"/>
  <c r="C15" i="1" s="1"/>
</calcChain>
</file>

<file path=xl/sharedStrings.xml><?xml version="1.0" encoding="utf-8"?>
<sst xmlns="http://schemas.openxmlformats.org/spreadsheetml/2006/main" count="698" uniqueCount="564">
  <si>
    <t>Длина участка</t>
  </si>
  <si>
    <t>м</t>
  </si>
  <si>
    <t>l</t>
  </si>
  <si>
    <r>
      <t>l</t>
    </r>
    <r>
      <rPr>
        <vertAlign val="subscript"/>
        <sz val="12"/>
        <color theme="1"/>
        <rFont val="Times New Roman"/>
        <family val="1"/>
        <charset val="204"/>
      </rPr>
      <t>1</t>
    </r>
  </si>
  <si>
    <t>т/м</t>
  </si>
  <si>
    <t>т</t>
  </si>
  <si>
    <t>F</t>
  </si>
  <si>
    <t>q</t>
  </si>
  <si>
    <t>Наименование</t>
  </si>
  <si>
    <t>Обозначение</t>
  </si>
  <si>
    <t>Ед.изм.</t>
  </si>
  <si>
    <t>№ п/п</t>
  </si>
  <si>
    <t>M</t>
  </si>
  <si>
    <t>тм</t>
  </si>
  <si>
    <t>Добавить/удалить участок консоли -</t>
  </si>
  <si>
    <t>Сосредоточенная нагрузка в конце участка</t>
  </si>
  <si>
    <t>Момент в корневом сечении от нагрузок участка</t>
  </si>
  <si>
    <t>Распределённая нагрузка на всей длине участка</t>
  </si>
  <si>
    <r>
      <t>Суммарный момент в корневом сечении, M</t>
    </r>
    <r>
      <rPr>
        <vertAlign val="subscript"/>
        <sz val="12"/>
        <color theme="1"/>
        <rFont val="Times New Roman"/>
        <family val="1"/>
        <charset val="204"/>
      </rPr>
      <t>S</t>
    </r>
  </si>
  <si>
    <r>
      <t>м</t>
    </r>
    <r>
      <rPr>
        <vertAlign val="superscript"/>
        <sz val="12"/>
        <color theme="1"/>
        <rFont val="Times New Roman"/>
        <family val="1"/>
        <charset val="204"/>
      </rPr>
      <t>3</t>
    </r>
  </si>
  <si>
    <t>Номер профиля</t>
  </si>
  <si>
    <t>Номинальные размеры, мм</t>
  </si>
  <si>
    <r>
      <t xml:space="preserve">Номинальная площадь поперечного сечения </t>
    </r>
    <r>
      <rPr>
        <i/>
        <sz val="11"/>
        <color theme="1"/>
        <rFont val="Calibri"/>
        <family val="2"/>
        <charset val="204"/>
      </rPr>
      <t>F</t>
    </r>
    <r>
      <rPr>
        <vertAlign val="subscript"/>
        <sz val="11"/>
        <color theme="1"/>
        <rFont val="Calibri"/>
        <family val="2"/>
        <charset val="204"/>
      </rPr>
      <t>н</t>
    </r>
    <r>
      <rPr>
        <sz val="11"/>
        <color theme="1"/>
        <rFont val="Calibri"/>
        <family val="2"/>
        <charset val="204"/>
      </rPr>
      <t>, см</t>
    </r>
    <r>
      <rPr>
        <vertAlign val="superscript"/>
        <sz val="11"/>
        <color theme="1"/>
        <rFont val="Calibri"/>
        <family val="2"/>
        <charset val="204"/>
      </rPr>
      <t>2</t>
    </r>
  </si>
  <si>
    <t>Номинальная масса 1 м двутавра, кг</t>
  </si>
  <si>
    <t>Справочные величины для осей профиля</t>
  </si>
  <si>
    <t>h</t>
  </si>
  <si>
    <t>b</t>
  </si>
  <si>
    <t>s</t>
  </si>
  <si>
    <t>t</t>
  </si>
  <si>
    <r>
      <t>h</t>
    </r>
    <r>
      <rPr>
        <vertAlign val="subscript"/>
        <sz val="11"/>
        <color theme="1"/>
        <rFont val="Calibri"/>
        <family val="2"/>
        <charset val="204"/>
      </rPr>
      <t>w</t>
    </r>
  </si>
  <si>
    <r>
      <t>b</t>
    </r>
    <r>
      <rPr>
        <vertAlign val="subscript"/>
        <sz val="11"/>
        <color theme="1"/>
        <rFont val="Calibri"/>
        <family val="2"/>
        <charset val="204"/>
      </rPr>
      <t>w</t>
    </r>
  </si>
  <si>
    <t>r</t>
  </si>
  <si>
    <r>
      <t>I</t>
    </r>
    <r>
      <rPr>
        <vertAlign val="subscript"/>
        <sz val="11"/>
        <color theme="1"/>
        <rFont val="Calibri"/>
        <family val="2"/>
        <charset val="204"/>
      </rPr>
      <t>x</t>
    </r>
    <r>
      <rPr>
        <sz val="11"/>
        <color theme="1"/>
        <rFont val="Calibri"/>
        <family val="2"/>
        <charset val="204"/>
      </rPr>
      <t>, см</t>
    </r>
    <r>
      <rPr>
        <vertAlign val="superscript"/>
        <sz val="11"/>
        <color theme="1"/>
        <rFont val="Calibri"/>
        <family val="2"/>
        <charset val="204"/>
      </rPr>
      <t>4</t>
    </r>
  </si>
  <si>
    <r>
      <t>W</t>
    </r>
    <r>
      <rPr>
        <vertAlign val="subscript"/>
        <sz val="11"/>
        <color theme="1"/>
        <rFont val="Calibri"/>
        <family val="2"/>
        <charset val="204"/>
      </rPr>
      <t>x</t>
    </r>
    <r>
      <rPr>
        <sz val="11"/>
        <color theme="1"/>
        <rFont val="Calibri"/>
        <family val="2"/>
        <charset val="204"/>
      </rPr>
      <t>, см</t>
    </r>
    <r>
      <rPr>
        <vertAlign val="superscript"/>
        <sz val="11"/>
        <color theme="1"/>
        <rFont val="Calibri"/>
        <family val="2"/>
        <charset val="204"/>
      </rPr>
      <t>3</t>
    </r>
  </si>
  <si>
    <r>
      <t>S</t>
    </r>
    <r>
      <rPr>
        <vertAlign val="subscript"/>
        <sz val="11"/>
        <color theme="1"/>
        <rFont val="Calibri"/>
        <family val="2"/>
        <charset val="204"/>
      </rPr>
      <t>x</t>
    </r>
    <r>
      <rPr>
        <sz val="11"/>
        <color theme="1"/>
        <rFont val="Calibri"/>
        <family val="2"/>
        <charset val="204"/>
      </rPr>
      <t>, см</t>
    </r>
    <r>
      <rPr>
        <vertAlign val="superscript"/>
        <sz val="11"/>
        <color theme="1"/>
        <rFont val="Calibri"/>
        <family val="2"/>
        <charset val="204"/>
      </rPr>
      <t>3</t>
    </r>
  </si>
  <si>
    <r>
      <t>i</t>
    </r>
    <r>
      <rPr>
        <vertAlign val="subscript"/>
        <sz val="11"/>
        <color theme="1"/>
        <rFont val="Calibri"/>
        <family val="2"/>
        <charset val="204"/>
      </rPr>
      <t>x</t>
    </r>
    <r>
      <rPr>
        <sz val="11"/>
        <color theme="1"/>
        <rFont val="Calibri"/>
        <family val="2"/>
        <charset val="204"/>
      </rPr>
      <t>, мм</t>
    </r>
  </si>
  <si>
    <r>
      <t>I</t>
    </r>
    <r>
      <rPr>
        <vertAlign val="subscript"/>
        <sz val="11"/>
        <color theme="1"/>
        <rFont val="Calibri"/>
        <family val="2"/>
        <charset val="204"/>
      </rPr>
      <t>y</t>
    </r>
    <r>
      <rPr>
        <sz val="11"/>
        <color theme="1"/>
        <rFont val="Calibri"/>
        <family val="2"/>
        <charset val="204"/>
      </rPr>
      <t>, см</t>
    </r>
    <r>
      <rPr>
        <vertAlign val="superscript"/>
        <sz val="11"/>
        <color theme="1"/>
        <rFont val="Calibri"/>
        <family val="2"/>
        <charset val="204"/>
      </rPr>
      <t>4</t>
    </r>
  </si>
  <si>
    <r>
      <t>W</t>
    </r>
    <r>
      <rPr>
        <vertAlign val="subscript"/>
        <sz val="11"/>
        <color theme="1"/>
        <rFont val="Calibri"/>
        <family val="2"/>
        <charset val="204"/>
      </rPr>
      <t>y</t>
    </r>
    <r>
      <rPr>
        <sz val="11"/>
        <color theme="1"/>
        <rFont val="Calibri"/>
        <family val="2"/>
        <charset val="204"/>
      </rPr>
      <t>, см</t>
    </r>
    <r>
      <rPr>
        <vertAlign val="superscript"/>
        <sz val="11"/>
        <color theme="1"/>
        <rFont val="Calibri"/>
        <family val="2"/>
        <charset val="204"/>
      </rPr>
      <t>3</t>
    </r>
  </si>
  <si>
    <r>
      <t>S</t>
    </r>
    <r>
      <rPr>
        <vertAlign val="subscript"/>
        <sz val="11"/>
        <color theme="1"/>
        <rFont val="Calibri"/>
        <family val="2"/>
        <charset val="204"/>
      </rPr>
      <t>y</t>
    </r>
    <r>
      <rPr>
        <sz val="11"/>
        <color theme="1"/>
        <rFont val="Calibri"/>
        <family val="2"/>
        <charset val="204"/>
      </rPr>
      <t>, см</t>
    </r>
    <r>
      <rPr>
        <vertAlign val="superscript"/>
        <sz val="11"/>
        <color theme="1"/>
        <rFont val="Calibri"/>
        <family val="2"/>
        <charset val="204"/>
      </rPr>
      <t>3</t>
    </r>
  </si>
  <si>
    <r>
      <t>i</t>
    </r>
    <r>
      <rPr>
        <vertAlign val="subscript"/>
        <sz val="11"/>
        <color theme="1"/>
        <rFont val="Calibri"/>
        <family val="2"/>
        <charset val="204"/>
      </rPr>
      <t>y</t>
    </r>
    <r>
      <rPr>
        <sz val="11"/>
        <color theme="1"/>
        <rFont val="Calibri"/>
        <family val="2"/>
        <charset val="204"/>
      </rPr>
      <t>, мм</t>
    </r>
  </si>
  <si>
    <t>Тип Б - Балочные нормальные двутавры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</si>
  <si>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</si>
  <si>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</si>
  <si>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</si>
  <si>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</si>
  <si>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</si>
  <si>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</si>
  <si>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</si>
  <si>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</si>
  <si>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</si>
  <si>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20Б0</t>
  </si>
  <si>
    <t>20Б1</t>
  </si>
  <si>
    <t>20Б2</t>
  </si>
  <si>
    <t>20Б3</t>
  </si>
  <si>
    <t>25Б1</t>
  </si>
  <si>
    <t>25Б2</t>
  </si>
  <si>
    <t>25Б3</t>
  </si>
  <si>
    <t>25Б4</t>
  </si>
  <si>
    <t>30Б1</t>
  </si>
  <si>
    <t>30Б2</t>
  </si>
  <si>
    <t>30Б3</t>
  </si>
  <si>
    <t>30Б4</t>
  </si>
  <si>
    <t>35Б1</t>
  </si>
  <si>
    <t>35Б2</t>
  </si>
  <si>
    <t>35Б3</t>
  </si>
  <si>
    <t>35Б4</t>
  </si>
  <si>
    <t>40Б1</t>
  </si>
  <si>
    <t>40Б2</t>
  </si>
  <si>
    <t>40Б3</t>
  </si>
  <si>
    <t>40Б4</t>
  </si>
  <si>
    <t>45Б1</t>
  </si>
  <si>
    <t>45Б2</t>
  </si>
  <si>
    <t>45Б3</t>
  </si>
  <si>
    <t>45Б4</t>
  </si>
  <si>
    <t>50Б1</t>
  </si>
  <si>
    <t>50Б2</t>
  </si>
  <si>
    <t>50Б3</t>
  </si>
  <si>
    <t>50Б4</t>
  </si>
  <si>
    <t>50Б5</t>
  </si>
  <si>
    <t>55Б1</t>
  </si>
  <si>
    <t>55Б2</t>
  </si>
  <si>
    <t>55Б3</t>
  </si>
  <si>
    <t>55Б4</t>
  </si>
  <si>
    <t>60Б1</t>
  </si>
  <si>
    <t>60Б2</t>
  </si>
  <si>
    <t>60Б3</t>
  </si>
  <si>
    <t>60Б4</t>
  </si>
  <si>
    <t>70Б1</t>
  </si>
  <si>
    <t>70Б2</t>
  </si>
  <si>
    <t>70Б3</t>
  </si>
  <si>
    <t>70Б4</t>
  </si>
  <si>
    <t>Тип Ш - Балочные широкополочные двутавры</t>
  </si>
  <si>
    <t>20Ш0</t>
  </si>
  <si>
    <t>20Ш1</t>
  </si>
  <si>
    <t>20Ш2</t>
  </si>
  <si>
    <t>20Ш3</t>
  </si>
  <si>
    <t>20Ш4</t>
  </si>
  <si>
    <t>20Ш5</t>
  </si>
  <si>
    <t>20Ш6</t>
  </si>
  <si>
    <t>25Ш0</t>
  </si>
  <si>
    <t>25Ш1</t>
  </si>
  <si>
    <t>25Ш2</t>
  </si>
  <si>
    <t>25Ш3</t>
  </si>
  <si>
    <t>25Ш4</t>
  </si>
  <si>
    <t>25Ш5</t>
  </si>
  <si>
    <t>25Ш6</t>
  </si>
  <si>
    <t>30Ш0</t>
  </si>
  <si>
    <t>30Ш1</t>
  </si>
  <si>
    <t>30Ш2</t>
  </si>
  <si>
    <t>30Ш3</t>
  </si>
  <si>
    <t>30Ш4</t>
  </si>
  <si>
    <t>30Ш5</t>
  </si>
  <si>
    <t>30Ш6</t>
  </si>
  <si>
    <t>35Ш1</t>
  </si>
  <si>
    <t>35Ш2</t>
  </si>
  <si>
    <t>35Ш3</t>
  </si>
  <si>
    <t>35Ш4</t>
  </si>
  <si>
    <t>35Ш5</t>
  </si>
  <si>
    <t>35Ш6</t>
  </si>
  <si>
    <t>35Ш7</t>
  </si>
  <si>
    <t>40Ш1</t>
  </si>
  <si>
    <t>40Ш2</t>
  </si>
  <si>
    <t>40Ш3</t>
  </si>
  <si>
    <t>40Ш4</t>
  </si>
  <si>
    <t>40Ш5</t>
  </si>
  <si>
    <t>40Ш6</t>
  </si>
  <si>
    <t>40Ш7</t>
  </si>
  <si>
    <t>45Ш0</t>
  </si>
  <si>
    <t>45Ш1</t>
  </si>
  <si>
    <t>45Ш2</t>
  </si>
  <si>
    <t>45Ш3</t>
  </si>
  <si>
    <t>45Ш4</t>
  </si>
  <si>
    <t>45Ш5</t>
  </si>
  <si>
    <t>45Ш6</t>
  </si>
  <si>
    <t>50Ш1</t>
  </si>
  <si>
    <t>50Ш2</t>
  </si>
  <si>
    <t>50Ш3</t>
  </si>
  <si>
    <t>50Ш4</t>
  </si>
  <si>
    <t>50Ш5</t>
  </si>
  <si>
    <t>50Ш6</t>
  </si>
  <si>
    <t>50Ш7</t>
  </si>
  <si>
    <t>50Ш8</t>
  </si>
  <si>
    <t>60Ш1</t>
  </si>
  <si>
    <t>60Ш2</t>
  </si>
  <si>
    <t>60Ш3</t>
  </si>
  <si>
    <t>60Ш4</t>
  </si>
  <si>
    <t>60Ш5</t>
  </si>
  <si>
    <t>60Ш6</t>
  </si>
  <si>
    <t>60Ш7</t>
  </si>
  <si>
    <t>60Ш8</t>
  </si>
  <si>
    <t>70Ш1</t>
  </si>
  <si>
    <t>70Ш2</t>
  </si>
  <si>
    <t>70Ш3</t>
  </si>
  <si>
    <t>70Ш4</t>
  </si>
  <si>
    <t>70Ш5</t>
  </si>
  <si>
    <t>70Ш6</t>
  </si>
  <si>
    <t>70Ш7</t>
  </si>
  <si>
    <t>70Ш8</t>
  </si>
  <si>
    <t>Тип К - Колонные двутавры</t>
  </si>
  <si>
    <t>15К1</t>
  </si>
  <si>
    <t>15К2</t>
  </si>
  <si>
    <t>15К3</t>
  </si>
  <si>
    <t>15К4</t>
  </si>
  <si>
    <t>15К5</t>
  </si>
  <si>
    <t>20К1</t>
  </si>
  <si>
    <t>20К2</t>
  </si>
  <si>
    <t>20К3</t>
  </si>
  <si>
    <t>20К4</t>
  </si>
  <si>
    <t>20К5</t>
  </si>
  <si>
    <t>20К6</t>
  </si>
  <si>
    <t>20К7</t>
  </si>
  <si>
    <t>20К8</t>
  </si>
  <si>
    <t>25К1</t>
  </si>
  <si>
    <t>25К2</t>
  </si>
  <si>
    <t>25К3</t>
  </si>
  <si>
    <t>25К4</t>
  </si>
  <si>
    <t>25К5</t>
  </si>
  <si>
    <t>25К6</t>
  </si>
  <si>
    <t>25К7</t>
  </si>
  <si>
    <t>25К8</t>
  </si>
  <si>
    <t>25К9</t>
  </si>
  <si>
    <t>25К10</t>
  </si>
  <si>
    <t>30К1</t>
  </si>
  <si>
    <t>30К2</t>
  </si>
  <si>
    <t>30К3</t>
  </si>
  <si>
    <t>30К4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</si>
  <si>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</si>
  <si>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</si>
  <si>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</si>
  <si>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</si>
  <si>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</si>
  <si>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</si>
  <si>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</si>
  <si>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</si>
  <si>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</si>
  <si>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</si>
  <si>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</si>
  <si>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</si>
  <si>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</si>
  <si>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</si>
  <si>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</si>
  <si>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</si>
  <si>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</si>
  <si>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</t>
  </si>
  <si>
    <t>35К1,5</t>
  </si>
  <si>
    <t>35К2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</si>
  <si>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</si>
  <si>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</si>
  <si>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</si>
  <si>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</si>
  <si>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</si>
  <si>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</si>
  <si>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</si>
  <si>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</si>
  <si>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</si>
  <si>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</si>
  <si>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</si>
  <si>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</si>
  <si>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</si>
  <si>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</si>
  <si>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</si>
  <si>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</si>
  <si>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</si>
  <si>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</si>
  <si>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</si>
  <si>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</si>
  <si>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</si>
  <si>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</si>
  <si>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40К1</t>
  </si>
  <si>
    <t>40К2</t>
  </si>
  <si>
    <t>40К3</t>
  </si>
  <si>
    <t>40К4</t>
  </si>
  <si>
    <t>40К4,5</t>
  </si>
  <si>
    <t>40К5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</si>
  <si>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</si>
  <si>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</si>
  <si>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</si>
  <si>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</si>
  <si>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</si>
  <si>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</si>
  <si>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</si>
  <si>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</si>
  <si>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</si>
  <si>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</si>
  <si>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</si>
  <si>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</si>
  <si>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</si>
  <si>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</si>
  <si>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Тип С - Свайные двутавры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</si>
  <si>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</si>
  <si>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</si>
  <si>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</si>
  <si>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</si>
  <si>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</si>
  <si>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</si>
  <si>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</si>
  <si>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</si>
  <si>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</si>
  <si>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</si>
  <si>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</si>
  <si>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</si>
  <si>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</si>
  <si>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</si>
  <si>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Тип ДБ - Дополнительные балочные двутавры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</si>
  <si>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</si>
  <si>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</si>
  <si>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</si>
  <si>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</si>
  <si>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</si>
  <si>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</si>
  <si>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</si>
  <si>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</si>
  <si>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</si>
  <si>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</si>
  <si>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</si>
  <si>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</si>
  <si>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</si>
  <si>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</si>
  <si>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</si>
  <si>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</si>
  <si>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</si>
  <si>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</si>
  <si>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</si>
  <si>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</si>
  <si>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</si>
  <si>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</si>
  <si>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</si>
  <si>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</si>
  <si>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</si>
  <si>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</si>
  <si>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</si>
  <si>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</si>
  <si>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</si>
  <si>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</si>
  <si>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</si>
  <si>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</si>
  <si>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</si>
  <si>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</si>
  <si>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</si>
  <si>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</si>
  <si>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</si>
  <si>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</si>
  <si>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</si>
  <si>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</si>
  <si>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</si>
  <si>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</si>
  <si>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</si>
  <si>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</si>
  <si>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</si>
  <si>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</si>
  <si>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</si>
  <si>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</si>
  <si>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</si>
  <si>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</si>
  <si>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</si>
  <si>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</si>
  <si>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</si>
  <si>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</si>
  <si>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</si>
  <si>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Тип ДК - Дополнительные колонные двутавры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</si>
  <si>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</si>
  <si>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</si>
  <si>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</si>
  <si>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</si>
  <si>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</si>
  <si>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</si>
  <si>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</si>
  <si>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</si>
  <si>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</si>
  <si>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</si>
  <si>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</si>
  <si>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</si>
  <si>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</si>
  <si>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</si>
  <si>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</si>
  <si>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</si>
  <si>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</si>
  <si>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</si>
  <si>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</si>
  <si>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</si>
  <si>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</si>
  <si>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</si>
  <si>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</si>
  <si>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</si>
  <si>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</si>
  <si>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</si>
  <si>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</si>
  <si>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</si>
  <si>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Примечания</t>
  </si>
  <si>
    <r>
      <t>1 Высота профиля (</t>
    </r>
    <r>
      <rPr>
        <i/>
        <sz val="11"/>
        <color theme="1"/>
        <rFont val="Calibri"/>
        <family val="2"/>
        <charset val="204"/>
      </rPr>
      <t>h</t>
    </r>
    <r>
      <rPr>
        <sz val="11"/>
        <color theme="1"/>
        <rFont val="Calibri"/>
        <family val="2"/>
        <charset val="204"/>
      </rPr>
      <t>), ширина полки (</t>
    </r>
    <r>
      <rPr>
        <i/>
        <sz val="11"/>
        <color theme="1"/>
        <rFont val="Calibri"/>
        <family val="2"/>
        <charset val="204"/>
      </rPr>
      <t>b</t>
    </r>
    <r>
      <rPr>
        <sz val="11"/>
        <color theme="1"/>
        <rFont val="Calibri"/>
        <family val="2"/>
        <charset val="204"/>
      </rPr>
      <t>), толщина стенки (</t>
    </r>
    <r>
      <rPr>
        <i/>
        <sz val="11"/>
        <color theme="1"/>
        <rFont val="Calibri"/>
        <family val="2"/>
        <charset val="204"/>
      </rPr>
      <t>s</t>
    </r>
    <r>
      <rPr>
        <sz val="11"/>
        <color theme="1"/>
        <rFont val="Calibri"/>
        <family val="2"/>
        <charset val="204"/>
      </rPr>
      <t>), толщина полки (</t>
    </r>
    <r>
      <rPr>
        <i/>
        <sz val="11"/>
        <color theme="1"/>
        <rFont val="Calibri"/>
        <family val="2"/>
        <charset val="204"/>
      </rPr>
      <t>t</t>
    </r>
    <r>
      <rPr>
        <sz val="11"/>
        <color theme="1"/>
        <rFont val="Calibri"/>
        <family val="2"/>
        <charset val="204"/>
      </rPr>
      <t>) являются контролируемыми размерами.</t>
    </r>
  </si>
  <si>
    <r>
      <t>2 Радиус сопряжения (</t>
    </r>
    <r>
      <rPr>
        <i/>
        <sz val="11"/>
        <color theme="1"/>
        <rFont val="Calibri"/>
        <family val="2"/>
        <charset val="204"/>
      </rPr>
      <t>r</t>
    </r>
    <r>
      <rPr>
        <sz val="11"/>
        <color theme="1"/>
        <rFont val="Calibri"/>
        <family val="2"/>
        <charset val="204"/>
      </rPr>
      <t>), высота стенки двутавра в свету между полками (</t>
    </r>
    <r>
      <rPr>
        <i/>
        <sz val="11"/>
        <color theme="1"/>
        <rFont val="Calibri"/>
        <family val="2"/>
        <charset val="204"/>
      </rPr>
      <t>h</t>
    </r>
    <r>
      <rPr>
        <vertAlign val="subscript"/>
        <sz val="11"/>
        <color theme="1"/>
        <rFont val="Calibri"/>
        <family val="2"/>
        <charset val="204"/>
      </rPr>
      <t>w</t>
    </r>
    <r>
      <rPr>
        <sz val="11"/>
        <color theme="1"/>
        <rFont val="Calibri"/>
        <family val="2"/>
        <charset val="204"/>
      </rPr>
      <t>), свес полки (</t>
    </r>
    <r>
      <rPr>
        <i/>
        <sz val="11"/>
        <color theme="1"/>
        <rFont val="Calibri"/>
        <family val="2"/>
        <charset val="204"/>
      </rPr>
      <t>b</t>
    </r>
    <r>
      <rPr>
        <vertAlign val="subscript"/>
        <sz val="11"/>
        <color theme="1"/>
        <rFont val="Calibri"/>
        <family val="2"/>
        <charset val="204"/>
      </rPr>
      <t>w</t>
    </r>
    <r>
      <rPr>
        <sz val="11"/>
        <color theme="1"/>
        <rFont val="Calibri"/>
        <family val="2"/>
        <charset val="204"/>
      </rPr>
      <t>) являются справочными величинами и на двутаврах не контролируются.</t>
    </r>
  </si>
  <si>
    <r>
      <t>3 Номинальная площадь поперечного сечения, номинальная масса 1 м двутавра, а также справочные величины для осей профиля вычислены по номинальным размерам. Плотность стали принята равной 7850 кг/м</t>
    </r>
    <r>
      <rPr>
        <vertAlign val="superscript"/>
        <sz val="11"/>
        <color theme="1"/>
        <rFont val="Calibri"/>
        <family val="2"/>
        <charset val="204"/>
      </rPr>
      <t>3</t>
    </r>
    <r>
      <rPr>
        <sz val="11"/>
        <color theme="1"/>
        <rFont val="Calibri"/>
        <family val="2"/>
        <charset val="204"/>
      </rPr>
      <t>.</t>
    </r>
  </si>
  <si>
    <t>шт.</t>
  </si>
  <si>
    <r>
      <t xml:space="preserve">Напряжения в корневом сечении, </t>
    </r>
    <r>
      <rPr>
        <sz val="12"/>
        <color theme="1"/>
        <rFont val="Times New Roman"/>
        <family val="1"/>
        <charset val="204"/>
      </rPr>
      <t>σ</t>
    </r>
  </si>
  <si>
    <t>Расчётное сопротивление стали консоли</t>
  </si>
  <si>
    <t>Сталь</t>
  </si>
  <si>
    <t>Толщина проката, мм</t>
  </si>
  <si>
    <t>С235</t>
  </si>
  <si>
    <t>От 2,0 до 4,0 включ.</t>
  </si>
  <si>
    <t>С245</t>
  </si>
  <si>
    <t>От 2,0 до 20 включ.</t>
  </si>
  <si>
    <t>С255</t>
  </si>
  <si>
    <t>От 2,0 до 3,9 включ.</t>
  </si>
  <si>
    <t>От 4,0 до 10 включ.</t>
  </si>
  <si>
    <t>Св. 10 до 20 включ.</t>
  </si>
  <si>
    <t>Св. 20 до 40 включ.</t>
  </si>
  <si>
    <t>С345</t>
  </si>
  <si>
    <t>От 2,0 до 10 включ.</t>
  </si>
  <si>
    <t>С345К</t>
  </si>
  <si>
    <t>С355</t>
  </si>
  <si>
    <t>От 8,0 до 16 включ.</t>
  </si>
  <si>
    <t>От 16 до 40 включ.</t>
  </si>
  <si>
    <t>От 40 до 60 включ.</t>
  </si>
  <si>
    <t>От 60 до 80 включ.</t>
  </si>
  <si>
    <t>От 80 до 100 включ.</t>
  </si>
  <si>
    <t>От 100 до 160 включ.</t>
  </si>
  <si>
    <t>С355-1; С355-К</t>
  </si>
  <si>
    <t>От 40 до 50 включ.</t>
  </si>
  <si>
    <t>230/225</t>
  </si>
  <si>
    <t>350/345</t>
  </si>
  <si>
    <t>240/235</t>
  </si>
  <si>
    <t>360/350</t>
  </si>
  <si>
    <t>250/245</t>
  </si>
  <si>
    <t>370/360</t>
  </si>
  <si>
    <t>340/330</t>
  </si>
  <si>
    <t>480/470</t>
  </si>
  <si>
    <t>340 / 330</t>
  </si>
  <si>
    <t>460/450</t>
  </si>
  <si>
    <t>350/340</t>
  </si>
  <si>
    <t>330/320</t>
  </si>
  <si>
    <t>320/310</t>
  </si>
  <si>
    <t>310/300</t>
  </si>
  <si>
    <t>285/280</t>
  </si>
  <si>
    <t>С355П</t>
  </si>
  <si>
    <t>С390; С390-1</t>
  </si>
  <si>
    <t>От 8,0 до 50 включ.</t>
  </si>
  <si>
    <t>380/370</t>
  </si>
  <si>
    <t>505/495</t>
  </si>
  <si>
    <t>С440</t>
  </si>
  <si>
    <t>430/420</t>
  </si>
  <si>
    <t>525/515</t>
  </si>
  <si>
    <t>С550</t>
  </si>
  <si>
    <t>625/610</t>
  </si>
  <si>
    <t>С590</t>
  </si>
  <si>
    <t>575/560</t>
  </si>
  <si>
    <t>670/650</t>
  </si>
  <si>
    <t>С690</t>
  </si>
  <si>
    <t>-/650</t>
  </si>
  <si>
    <t>-/745</t>
  </si>
  <si>
    <t>** Значения расчетных сопротивлений получены делением нормативных сопротивлений на коэффициенты надежности по материалу, определенные в соответствии с таблицей 3, с округлением до 5 Н/мм2. В числителе приведены значения расчетных сопротивлений проката по нормативной документации, в которой используется статистическая процедура контроля свойств проката (γm=1,025); в знаменателе - расчетное сопротивление остального проката при γm=1,050.</t>
  </si>
  <si>
    <t>Нормативные и расчетные сопротивления при растяжении, сжатии и изгибе фасонного проката в виде двутавров с параллельными гранями полок</t>
  </si>
  <si>
    <t>Толщина полки профилей, мм</t>
  </si>
  <si>
    <t>С255Б; С255Б-1</t>
  </si>
  <si>
    <t>≤10</t>
  </si>
  <si>
    <t>Св. 40 до 60 включ.</t>
  </si>
  <si>
    <t>Св. 60 до 80 включ.</t>
  </si>
  <si>
    <t>Св. 80 до 100 включ.</t>
  </si>
  <si>
    <t>&gt;100</t>
  </si>
  <si>
    <t>С345Б</t>
  </si>
  <si>
    <t>С345Б-1</t>
  </si>
  <si>
    <t>С355Б</t>
  </si>
  <si>
    <t>≤20</t>
  </si>
  <si>
    <t>С355Б-1</t>
  </si>
  <si>
    <t>С390Б</t>
  </si>
  <si>
    <t>≤30</t>
  </si>
  <si>
    <t>Св. 30 до 60 включ.</t>
  </si>
  <si>
    <t>С440Б</t>
  </si>
  <si>
    <t>Св. 20 до 30 включ.</t>
  </si>
  <si>
    <t>Св. 30 до 80 включ.</t>
  </si>
  <si>
    <t>Нормативные и расчетные сопротивления при растяжении, сжатии и изгибе фасонного проката</t>
  </si>
  <si>
    <t>Толщина проката*, мм</t>
  </si>
  <si>
    <t>От 4,0 до 20 включ.</t>
  </si>
  <si>
    <t>От 20 до 40 включ.</t>
  </si>
  <si>
    <t>От 10 до 20 включ.</t>
  </si>
  <si>
    <t>470/460</t>
  </si>
  <si>
    <t>300/290</t>
  </si>
  <si>
    <t>450/440</t>
  </si>
  <si>
    <t>С355-1</t>
  </si>
  <si>
    <t>С390</t>
  </si>
  <si>
    <t>От 8,0 до 10 включ.</t>
  </si>
  <si>
    <t>480/475</t>
  </si>
  <si>
    <t>* За толщину фасонного проката следует принимать толщину полки.</t>
  </si>
  <si>
    <t>*** Значения расчетных сопротивлений получены делением нормативных сопротивлений на коэффициенты надежности по материалу, определенные в соответствии с таблицей 3, с округлением до 5 Н/мм2. В числителе приведены значения расчетных сопротивлений проката по нормативной документации, в которой используется процедура контроля свойств проката (γm=1,025), в знаменателе - расчетное сопротивление остального проката при γm=1,050.</t>
  </si>
  <si>
    <r>
      <t>Нормативные и расчетные сопротивления при растяжении, сжатии и изгибе листового, широкополосного универсального, сортового проката и труб</t>
    </r>
    <r>
      <rPr>
        <vertAlign val="superscript"/>
        <sz val="9"/>
        <color rgb="FF3B3B3B"/>
        <rFont val="Times New Roman"/>
        <family val="1"/>
        <charset val="204"/>
      </rPr>
      <t>1)</t>
    </r>
  </si>
  <si>
    <r>
      <t>1)</t>
    </r>
    <r>
      <rPr>
        <sz val="8"/>
        <color rgb="FF3B3B3B"/>
        <rFont val="Times New Roman"/>
        <family val="1"/>
        <charset val="204"/>
      </rPr>
      <t> Трубы стальные бесшовные и бесшовные горячедеформированные, а также электросварные прямошовные диаметром 114-530 мм с толщиной стенки от 4,0 до 12,7 мм; диаметром 508-1422 мм с толщиной стенки от 8 до 50 мм и диаметром 530-1420 мм улучшенной свариваемости и хладостойкости для строительных металлических конструкций следует принимать по соответствующим действующим техническим условиям. Трубы диаметром 114-530 мм, сваренные высокочастотной сваркой (ВЧС), следует применять только после объемной термической обработки (ОТО).</t>
    </r>
  </si>
  <si>
    <r>
      <t>Нормативное сопротивление* проката и труб, Н/мм</t>
    </r>
    <r>
      <rPr>
        <vertAlign val="superscript"/>
        <sz val="9"/>
        <color rgb="FF3B3B3B"/>
        <rFont val="Times New Roman"/>
        <family val="1"/>
        <charset val="204"/>
      </rPr>
      <t>2</t>
    </r>
  </si>
  <si>
    <r>
      <t>Расчетное сопротивление** проката и труб, Н/мм</t>
    </r>
    <r>
      <rPr>
        <vertAlign val="superscript"/>
        <sz val="9"/>
        <color rgb="FF3B3B3B"/>
        <rFont val="Times New Roman"/>
        <family val="1"/>
        <charset val="204"/>
      </rPr>
      <t>2</t>
    </r>
  </si>
  <si>
    <r>
      <t>R</t>
    </r>
    <r>
      <rPr>
        <i/>
        <vertAlign val="subscript"/>
        <sz val="10.25"/>
        <color rgb="FF3B3B3B"/>
        <rFont val="Times New Roman"/>
        <family val="1"/>
        <charset val="204"/>
      </rPr>
      <t>yn</t>
    </r>
  </si>
  <si>
    <r>
      <t>R</t>
    </r>
    <r>
      <rPr>
        <i/>
        <vertAlign val="subscript"/>
        <sz val="10.25"/>
        <color rgb="FF3B3B3B"/>
        <rFont val="Times New Roman"/>
        <family val="1"/>
        <charset val="204"/>
      </rPr>
      <t>un</t>
    </r>
  </si>
  <si>
    <r>
      <t>R</t>
    </r>
    <r>
      <rPr>
        <i/>
        <vertAlign val="subscript"/>
        <sz val="10.25"/>
        <color rgb="FF3B3B3B"/>
        <rFont val="Times New Roman"/>
        <family val="1"/>
        <charset val="204"/>
      </rPr>
      <t>y</t>
    </r>
  </si>
  <si>
    <r>
      <t>R</t>
    </r>
    <r>
      <rPr>
        <i/>
        <vertAlign val="subscript"/>
        <sz val="10.25"/>
        <color rgb="FF3B3B3B"/>
        <rFont val="Times New Roman"/>
        <family val="1"/>
        <charset val="204"/>
      </rPr>
      <t>u</t>
    </r>
  </si>
  <si>
    <r>
      <t>* За нормативное сопротивление приняты гарантированные значения предела текучести и временного сопротивления, приводимые в НД. В тех случаях, когда эти значения в НД приведены только в одной системе единиц - кгс/мм</t>
    </r>
    <r>
      <rPr>
        <vertAlign val="superscript"/>
        <sz val="8"/>
        <color rgb="FF3B3B3B"/>
        <rFont val="Times New Roman"/>
        <family val="1"/>
        <charset val="204"/>
      </rPr>
      <t>2</t>
    </r>
    <r>
      <rPr>
        <sz val="8"/>
        <color rgb="FF3B3B3B"/>
        <rFont val="Times New Roman"/>
        <family val="1"/>
        <charset val="204"/>
      </rPr>
      <t>, нормативные сопротивления, Н/мм</t>
    </r>
    <r>
      <rPr>
        <vertAlign val="superscript"/>
        <sz val="8"/>
        <color rgb="FF3B3B3B"/>
        <rFont val="Times New Roman"/>
        <family val="1"/>
        <charset val="204"/>
      </rPr>
      <t>2</t>
    </r>
    <r>
      <rPr>
        <sz val="8"/>
        <color rgb="FF3B3B3B"/>
        <rFont val="Times New Roman"/>
        <family val="1"/>
        <charset val="204"/>
      </rPr>
      <t>, следует вычислять умножением соответствующих значений на 9,81 с округлением до 5 Н/мм</t>
    </r>
    <r>
      <rPr>
        <vertAlign val="superscript"/>
        <sz val="8"/>
        <color rgb="FF3B3B3B"/>
        <rFont val="Times New Roman"/>
        <family val="1"/>
        <charset val="204"/>
      </rPr>
      <t>2</t>
    </r>
    <r>
      <rPr>
        <sz val="8"/>
        <color rgb="FF3B3B3B"/>
        <rFont val="Times New Roman"/>
        <family val="1"/>
        <charset val="204"/>
      </rPr>
      <t>.</t>
    </r>
  </si>
  <si>
    <r>
      <t>Нормативное сопротивление проката, Н/мм</t>
    </r>
    <r>
      <rPr>
        <vertAlign val="superscript"/>
        <sz val="10.25"/>
        <color rgb="FF3B3B3B"/>
        <rFont val="Times New Roman"/>
        <family val="1"/>
        <charset val="204"/>
      </rPr>
      <t>2</t>
    </r>
  </si>
  <si>
    <r>
      <t>Расчетное сопротивление проката, Н/мм</t>
    </r>
    <r>
      <rPr>
        <vertAlign val="superscript"/>
        <sz val="10.25"/>
        <color rgb="FF3B3B3B"/>
        <rFont val="Times New Roman"/>
        <family val="1"/>
        <charset val="204"/>
      </rPr>
      <t>2</t>
    </r>
  </si>
  <si>
    <r>
      <t>Примечание.</t>
    </r>
    <r>
      <rPr>
        <i/>
        <sz val="9"/>
        <color rgb="FF3B3B3B"/>
        <rFont val="Times New Roman"/>
        <family val="1"/>
        <charset val="204"/>
      </rPr>
      <t> Цифра 1 в первом столбце означает вариант химического состава.</t>
    </r>
  </si>
  <si>
    <r>
      <t>Нормативное сопротивление** проката, Н/мм</t>
    </r>
    <r>
      <rPr>
        <vertAlign val="superscript"/>
        <sz val="10.25"/>
        <color rgb="FF3B3B3B"/>
        <rFont val="Times New Roman"/>
        <family val="1"/>
        <charset val="204"/>
      </rPr>
      <t>2</t>
    </r>
  </si>
  <si>
    <r>
      <t>Расчетное сопротивление*** проката, Н/мм</t>
    </r>
    <r>
      <rPr>
        <vertAlign val="superscript"/>
        <sz val="10.25"/>
        <color rgb="FF3B3B3B"/>
        <rFont val="Times New Roman"/>
        <family val="1"/>
        <charset val="204"/>
      </rPr>
      <t>2</t>
    </r>
  </si>
  <si>
    <r>
      <t>** За нормативное сопротивление приняты гарантированные значения предела текучести и временного сопротивления, приводимые в национальных стандартах или технических условиях. В тех случаях, когда эти значения в национальных стандартах или технических условиях приведены только в одной системе единиц - кгс/мм</t>
    </r>
    <r>
      <rPr>
        <vertAlign val="superscript"/>
        <sz val="9"/>
        <color rgb="FF3B3B3B"/>
        <rFont val="Times New Roman"/>
        <family val="1"/>
        <charset val="204"/>
      </rPr>
      <t>2</t>
    </r>
    <r>
      <rPr>
        <sz val="9"/>
        <color rgb="FF3B3B3B"/>
        <rFont val="Times New Roman"/>
        <family val="1"/>
        <charset val="204"/>
      </rPr>
      <t>, нормативные сопротивления, Н/мм</t>
    </r>
    <r>
      <rPr>
        <vertAlign val="superscript"/>
        <sz val="9"/>
        <color rgb="FF3B3B3B"/>
        <rFont val="Times New Roman"/>
        <family val="1"/>
        <charset val="204"/>
      </rPr>
      <t>2</t>
    </r>
    <r>
      <rPr>
        <sz val="9"/>
        <color rgb="FF3B3B3B"/>
        <rFont val="Times New Roman"/>
        <family val="1"/>
        <charset val="204"/>
      </rPr>
      <t>, вычислены умножением соответствующих значений на 9,81 с округлением до 5 Н/мм</t>
    </r>
    <r>
      <rPr>
        <vertAlign val="superscript"/>
        <sz val="9"/>
        <color rgb="FF3B3B3B"/>
        <rFont val="Times New Roman"/>
        <family val="1"/>
        <charset val="204"/>
      </rPr>
      <t>2</t>
    </r>
    <r>
      <rPr>
        <sz val="9"/>
        <color rgb="FF3B3B3B"/>
        <rFont val="Times New Roman"/>
        <family val="1"/>
        <charset val="204"/>
      </rPr>
      <t>.</t>
    </r>
  </si>
  <si>
    <t>МПа</t>
  </si>
  <si>
    <t>Коэффициент запаса</t>
  </si>
  <si>
    <t>Номер швел- лера серии У</t>
  </si>
  <si>
    <t xml:space="preserve">Масса 1 м, кг </t>
  </si>
  <si>
    <t xml:space="preserve">Справочные значения для осей </t>
  </si>
  <si>
    <t>не более</t>
  </si>
  <si>
    <t xml:space="preserve">мм </t>
  </si>
  <si>
    <t>5У</t>
  </si>
  <si>
    <t>6,5У</t>
  </si>
  <si>
    <t>8У</t>
  </si>
  <si>
    <t>10У</t>
  </si>
  <si>
    <t>12У</t>
  </si>
  <si>
    <t>14У</t>
  </si>
  <si>
    <t>16У</t>
  </si>
  <si>
    <t>16аУ</t>
  </si>
  <si>
    <t>18У</t>
  </si>
  <si>
    <t>18аУ</t>
  </si>
  <si>
    <t>20У</t>
  </si>
  <si>
    <t>22У</t>
  </si>
  <si>
    <t>24У</t>
  </si>
  <si>
    <t>27У</t>
  </si>
  <si>
    <t>30У</t>
  </si>
  <si>
    <t>33У</t>
  </si>
  <si>
    <t>36У</t>
  </si>
  <si>
    <t>40У</t>
  </si>
  <si>
    <r>
      <t>X</t>
    </r>
    <r>
      <rPr>
        <vertAlign val="subscript"/>
        <sz val="9"/>
        <color rgb="FF000001"/>
        <rFont val="Times New Roman"/>
        <family val="1"/>
        <charset val="204"/>
      </rPr>
      <t>0</t>
    </r>
    <r>
      <rPr>
        <sz val="9"/>
        <color rgb="FF000001"/>
        <rFont val="Times New Roman"/>
        <family val="1"/>
        <charset val="204"/>
      </rPr>
      <t xml:space="preserve">, см </t>
    </r>
  </si>
  <si>
    <t>X-X</t>
  </si>
  <si>
    <t>Y-Y</t>
  </si>
  <si>
    <r>
      <t>I</t>
    </r>
    <r>
      <rPr>
        <vertAlign val="subscript"/>
        <sz val="9"/>
        <color rgb="FF000001"/>
        <rFont val="Times New Roman"/>
        <family val="1"/>
        <charset val="204"/>
      </rPr>
      <t>x</t>
    </r>
    <r>
      <rPr>
        <sz val="9"/>
        <color rgb="FF000001"/>
        <rFont val="Times New Roman"/>
        <family val="1"/>
        <charset val="204"/>
      </rPr>
      <t>, см</t>
    </r>
    <r>
      <rPr>
        <vertAlign val="superscript"/>
        <sz val="9"/>
        <color rgb="FF000001"/>
        <rFont val="Times New Roman"/>
        <family val="1"/>
        <charset val="204"/>
      </rPr>
      <t>4</t>
    </r>
  </si>
  <si>
    <r>
      <t>W</t>
    </r>
    <r>
      <rPr>
        <vertAlign val="subscript"/>
        <sz val="9"/>
        <color rgb="FF000001"/>
        <rFont val="Times New Roman"/>
        <family val="1"/>
        <charset val="204"/>
      </rPr>
      <t>x</t>
    </r>
    <r>
      <rPr>
        <sz val="9"/>
        <color rgb="FF000001"/>
        <rFont val="Times New Roman"/>
        <family val="1"/>
        <charset val="204"/>
      </rPr>
      <t>, см</t>
    </r>
    <r>
      <rPr>
        <vertAlign val="superscript"/>
        <sz val="9"/>
        <color rgb="FF000001"/>
        <rFont val="Times New Roman"/>
        <family val="1"/>
        <charset val="204"/>
      </rPr>
      <t>3</t>
    </r>
  </si>
  <si>
    <r>
      <t>i</t>
    </r>
    <r>
      <rPr>
        <vertAlign val="subscript"/>
        <sz val="9"/>
        <color rgb="FF000001"/>
        <rFont val="Times New Roman"/>
        <family val="1"/>
        <charset val="204"/>
      </rPr>
      <t>x</t>
    </r>
    <r>
      <rPr>
        <sz val="9"/>
        <color rgb="FF000001"/>
        <rFont val="Times New Roman"/>
        <family val="1"/>
        <charset val="204"/>
      </rPr>
      <t xml:space="preserve">, см </t>
    </r>
  </si>
  <si>
    <r>
      <t>S</t>
    </r>
    <r>
      <rPr>
        <vertAlign val="subscript"/>
        <sz val="9"/>
        <color rgb="FF000001"/>
        <rFont val="Times New Roman"/>
        <family val="1"/>
        <charset val="204"/>
      </rPr>
      <t>x</t>
    </r>
    <r>
      <rPr>
        <sz val="9"/>
        <color rgb="FF000001"/>
        <rFont val="Times New Roman"/>
        <family val="1"/>
        <charset val="204"/>
      </rPr>
      <t>, см</t>
    </r>
    <r>
      <rPr>
        <vertAlign val="superscript"/>
        <sz val="9"/>
        <color rgb="FF000001"/>
        <rFont val="Times New Roman"/>
        <family val="1"/>
        <charset val="204"/>
      </rPr>
      <t>3</t>
    </r>
  </si>
  <si>
    <r>
      <t>I</t>
    </r>
    <r>
      <rPr>
        <vertAlign val="subscript"/>
        <sz val="9"/>
        <color rgb="FF000001"/>
        <rFont val="Times New Roman"/>
        <family val="1"/>
        <charset val="204"/>
      </rPr>
      <t>y</t>
    </r>
    <r>
      <rPr>
        <sz val="9"/>
        <color rgb="FF000001"/>
        <rFont val="Times New Roman"/>
        <family val="1"/>
        <charset val="204"/>
      </rPr>
      <t>, см</t>
    </r>
    <r>
      <rPr>
        <vertAlign val="superscript"/>
        <sz val="9"/>
        <color rgb="FF000001"/>
        <rFont val="Times New Roman"/>
        <family val="1"/>
        <charset val="204"/>
      </rPr>
      <t>4</t>
    </r>
  </si>
  <si>
    <r>
      <t>W</t>
    </r>
    <r>
      <rPr>
        <vertAlign val="subscript"/>
        <sz val="9"/>
        <color rgb="FF000001"/>
        <rFont val="Times New Roman"/>
        <family val="1"/>
        <charset val="204"/>
      </rPr>
      <t>y</t>
    </r>
    <r>
      <rPr>
        <sz val="9"/>
        <color rgb="FF000001"/>
        <rFont val="Times New Roman"/>
        <family val="1"/>
        <charset val="204"/>
      </rPr>
      <t>, см</t>
    </r>
    <r>
      <rPr>
        <vertAlign val="superscript"/>
        <sz val="9"/>
        <color rgb="FF000001"/>
        <rFont val="Times New Roman"/>
        <family val="1"/>
        <charset val="204"/>
      </rPr>
      <t>3</t>
    </r>
  </si>
  <si>
    <r>
      <t>i</t>
    </r>
    <r>
      <rPr>
        <vertAlign val="subscript"/>
        <sz val="9"/>
        <color rgb="FF000001"/>
        <rFont val="Times New Roman"/>
        <family val="1"/>
        <charset val="204"/>
      </rPr>
      <t>0</t>
    </r>
    <r>
      <rPr>
        <sz val="9"/>
        <color rgb="FF000001"/>
        <rFont val="Times New Roman"/>
        <family val="1"/>
        <charset val="204"/>
      </rPr>
      <t xml:space="preserve">, см </t>
    </r>
  </si>
  <si>
    <t>R</t>
  </si>
  <si>
    <r>
      <t>Пло- щадь попе- речного сечения F, см</t>
    </r>
    <r>
      <rPr>
        <vertAlign val="superscript"/>
        <sz val="9"/>
        <color rgb="FF000001"/>
        <rFont val="Times New Roman"/>
        <family val="1"/>
        <charset val="204"/>
      </rPr>
      <t>2</t>
    </r>
  </si>
  <si>
    <t>5П</t>
  </si>
  <si>
    <t>6,5П</t>
  </si>
  <si>
    <t>8П</t>
  </si>
  <si>
    <t>10П</t>
  </si>
  <si>
    <t>12П</t>
  </si>
  <si>
    <t>14П</t>
  </si>
  <si>
    <t>16П</t>
  </si>
  <si>
    <t>16аП</t>
  </si>
  <si>
    <t>18П</t>
  </si>
  <si>
    <t>18аП</t>
  </si>
  <si>
    <t>20П</t>
  </si>
  <si>
    <t>22П</t>
  </si>
  <si>
    <t>24П</t>
  </si>
  <si>
    <t>27П</t>
  </si>
  <si>
    <t>30П</t>
  </si>
  <si>
    <t>33П</t>
  </si>
  <si>
    <t>36П</t>
  </si>
  <si>
    <t>40П</t>
  </si>
  <si>
    <t>5Э</t>
  </si>
  <si>
    <t>6,5Э</t>
  </si>
  <si>
    <t>8Э</t>
  </si>
  <si>
    <t>10Э</t>
  </si>
  <si>
    <t>12Э</t>
  </si>
  <si>
    <t>14Э</t>
  </si>
  <si>
    <t>16Э</t>
  </si>
  <si>
    <t>18Э</t>
  </si>
  <si>
    <t>20Э</t>
  </si>
  <si>
    <t>22Э</t>
  </si>
  <si>
    <t>24Э</t>
  </si>
  <si>
    <t>27Э</t>
  </si>
  <si>
    <t>30Э</t>
  </si>
  <si>
    <t>33Э</t>
  </si>
  <si>
    <t>36Э</t>
  </si>
  <si>
    <t>40Э</t>
  </si>
  <si>
    <t>12Л</t>
  </si>
  <si>
    <t>-</t>
  </si>
  <si>
    <t>14Л</t>
  </si>
  <si>
    <t xml:space="preserve">- </t>
  </si>
  <si>
    <t>16Л</t>
  </si>
  <si>
    <t>18Л</t>
  </si>
  <si>
    <t>20Л</t>
  </si>
  <si>
    <t>22Л</t>
  </si>
  <si>
    <t>24Л</t>
  </si>
  <si>
    <t>27Л</t>
  </si>
  <si>
    <t>30Л</t>
  </si>
  <si>
    <t>8С</t>
  </si>
  <si>
    <t>14С</t>
  </si>
  <si>
    <t>14Са</t>
  </si>
  <si>
    <t>16С</t>
  </si>
  <si>
    <t>16Са</t>
  </si>
  <si>
    <t>18С</t>
  </si>
  <si>
    <t>18Са</t>
  </si>
  <si>
    <t>18Сб</t>
  </si>
  <si>
    <t>20С</t>
  </si>
  <si>
    <t>20Са</t>
  </si>
  <si>
    <t>20Сб</t>
  </si>
  <si>
    <t>24С</t>
  </si>
  <si>
    <t>26С</t>
  </si>
  <si>
    <t>26Са</t>
  </si>
  <si>
    <t>30С</t>
  </si>
  <si>
    <t>30Са</t>
  </si>
  <si>
    <t>30Сб</t>
  </si>
  <si>
    <t xml:space="preserve">Швеллеры специальные </t>
  </si>
  <si>
    <t xml:space="preserve">Швеллеры легкой серии с параллельными гранями полок </t>
  </si>
  <si>
    <t>Швеллеры экономичные с параллельными гранями полок</t>
  </si>
  <si>
    <t>Швеллеры с параллельными гранями полок</t>
  </si>
  <si>
    <t>Швеллеры с уклоном внутренних граней полок</t>
  </si>
  <si>
    <t>Момент сопротивления сечения</t>
  </si>
  <si>
    <t>Швеллеры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</si>
</sst>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8" x14ac:knownFonts="1">
    <font>
      <sz val="12"/>
      <color theme="1"/>
      <name val="Times New Roman"/>
      <family val="2"/>
      <charset val="204"/>
    </font>
    <font>
      <vertAlign val="subscript"/>
      <sz val="12"/>
      <color theme="1"/>
      <name val="Times New Roman"/>
      <family val="1"/>
      <charset val="204"/>
    </font>
    <font>
      <sz val="8"/>
      <name val="Times New Roman"/>
      <family val="2"/>
      <charset val="204"/>
    </font>
    <font>
      <sz val="18"/>
      <color theme="4" tint="-0.249977111117893"/>
      <name val="Times New Roman"/>
      <family val="2"/>
      <charset val="204"/>
    </font>
    <font>
      <vertAlign val="superscript"/>
      <sz val="12"/>
      <color theme="1"/>
      <name val="Times New Roman"/>
      <family val="1"/>
      <charset val="204"/>
    </font>
    <font>
      <sz val="11"/>
      <color theme="1"/>
      <name val="Calibri"/>
      <family val="2"/>
      <charset val="204"/>
    </font>
    <font>
      <i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</font>
    <font>
      <sz val="12"/>
      <color theme="1"/>
      <name val="Times New Roman"/>
      <family val="1"/>
      <charset val="204"/>
    </font>
    <font>
      <b/>
      <sz val="9"/>
      <color rgb="FF3B3B3B"/>
      <name val="Times New Roman"/>
      <family val="1"/>
      <charset val="204"/>
    </font>
    <font>
      <vertAlign val="superscript"/>
      <sz val="9"/>
      <color rgb="FF3B3B3B"/>
      <name val="Times New Roman"/>
      <family val="1"/>
      <charset val="204"/>
    </font>
    <font>
      <vertAlign val="superscript"/>
      <sz val="8"/>
      <color rgb="FF3B3B3B"/>
      <name val="Times New Roman"/>
      <family val="1"/>
      <charset val="204"/>
    </font>
    <font>
      <sz val="8"/>
      <color rgb="FF3B3B3B"/>
      <name val="Times New Roman"/>
      <family val="1"/>
      <charset val="204"/>
    </font>
    <font>
      <sz val="10.25"/>
      <color rgb="FF3B3B3B"/>
      <name val="Times New Roman"/>
      <family val="1"/>
      <charset val="204"/>
    </font>
    <font>
      <sz val="9"/>
      <color rgb="FF3B3B3B"/>
      <name val="Times New Roman"/>
      <family val="1"/>
      <charset val="204"/>
    </font>
    <font>
      <i/>
      <sz val="10.25"/>
      <color rgb="FF3B3B3B"/>
      <name val="Times New Roman"/>
      <family val="1"/>
      <charset val="204"/>
    </font>
    <font>
      <i/>
      <vertAlign val="subscript"/>
      <sz val="10.25"/>
      <color rgb="FF3B3B3B"/>
      <name val="Times New Roman"/>
      <family val="1"/>
      <charset val="204"/>
    </font>
    <font>
      <sz val="8"/>
      <color theme="1"/>
      <name val="Times New Roman"/>
      <family val="1"/>
      <charset val="204"/>
    </font>
    <font>
      <vertAlign val="superscript"/>
      <sz val="10.25"/>
      <color rgb="FF3B3B3B"/>
      <name val="Times New Roman"/>
      <family val="1"/>
      <charset val="204"/>
    </font>
    <font>
      <b/>
      <i/>
      <sz val="9"/>
      <color rgb="FF3B3B3B"/>
      <name val="Times New Roman"/>
      <family val="1"/>
      <charset val="204"/>
    </font>
    <font>
      <i/>
      <sz val="9"/>
      <color rgb="FF3B3B3B"/>
      <name val="Times New Roman"/>
      <family val="1"/>
      <charset val="204"/>
    </font>
    <font>
      <sz val="9"/>
      <color theme="1"/>
      <name val="Times New Roman"/>
      <family val="1"/>
      <charset val="204"/>
    </font>
    <font>
      <sz val="12"/>
      <color rgb="FF000001"/>
      <name val="Times New Roman"/>
      <family val="1"/>
      <charset val="204"/>
    </font>
    <font>
      <sz val="9"/>
      <color rgb="FF000001"/>
      <name val="Times New Roman"/>
      <family val="1"/>
      <charset val="204"/>
    </font>
    <font>
      <vertAlign val="superscript"/>
      <sz val="9"/>
      <color rgb="FF000001"/>
      <name val="Times New Roman"/>
      <family val="1"/>
      <charset val="204"/>
    </font>
    <font>
      <vertAlign val="subscript"/>
      <sz val="9"/>
      <color rgb="FF000001"/>
      <name val="Times New Roman"/>
      <family val="1"/>
      <charset val="204"/>
    </font>
    <font>
      <b/>
      <sz val="14"/>
      <color theme="1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0" fillId="2" borderId="7" xfId="0" applyFill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left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6" fillId="0" borderId="14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5" borderId="39" xfId="0" applyFont="1" applyFill="1" applyBorder="1" applyAlignment="1">
      <alignment horizontal="center" vertical="center" wrapText="1"/>
    </xf>
    <xf numFmtId="0" fontId="16" fillId="5" borderId="21" xfId="0" applyFont="1" applyFill="1" applyBorder="1" applyAlignment="1">
      <alignment horizontal="center" vertical="center" wrapText="1"/>
    </xf>
    <xf numFmtId="0" fontId="16" fillId="5" borderId="23" xfId="0" applyFont="1" applyFill="1" applyBorder="1" applyAlignment="1">
      <alignment horizontal="center" vertical="center" wrapText="1"/>
    </xf>
    <xf numFmtId="0" fontId="14" fillId="5" borderId="40" xfId="0" applyFont="1" applyFill="1" applyBorder="1" applyAlignment="1">
      <alignment horizontal="center" vertical="center" wrapText="1"/>
    </xf>
    <xf numFmtId="0" fontId="14" fillId="5" borderId="24" xfId="0" applyFont="1" applyFill="1" applyBorder="1" applyAlignment="1">
      <alignment horizontal="center" vertical="center" wrapText="1"/>
    </xf>
    <xf numFmtId="0" fontId="14" fillId="5" borderId="26" xfId="0" applyFont="1" applyFill="1" applyBorder="1" applyAlignment="1">
      <alignment horizontal="center" vertical="center" wrapText="1"/>
    </xf>
    <xf numFmtId="0" fontId="14" fillId="5" borderId="41" xfId="0" applyFont="1" applyFill="1" applyBorder="1" applyAlignment="1">
      <alignment horizontal="center" vertical="center" wrapText="1"/>
    </xf>
    <xf numFmtId="0" fontId="14" fillId="5" borderId="19" xfId="0" applyFont="1" applyFill="1" applyBorder="1" applyAlignment="1">
      <alignment horizontal="center" vertical="center" wrapText="1"/>
    </xf>
    <xf numFmtId="0" fontId="14" fillId="5" borderId="20" xfId="0" applyFont="1" applyFill="1" applyBorder="1" applyAlignment="1">
      <alignment horizontal="center" vertical="center" wrapText="1"/>
    </xf>
    <xf numFmtId="0" fontId="14" fillId="5" borderId="21" xfId="0" applyFont="1" applyFill="1" applyBorder="1" applyAlignment="1">
      <alignment horizontal="center" vertical="center" wrapText="1"/>
    </xf>
    <xf numFmtId="0" fontId="14" fillId="5" borderId="23" xfId="0" applyFont="1" applyFill="1" applyBorder="1" applyAlignment="1">
      <alignment horizontal="center" vertical="center" wrapText="1"/>
    </xf>
    <xf numFmtId="0" fontId="14" fillId="5" borderId="40" xfId="0" applyFont="1" applyFill="1" applyBorder="1" applyAlignment="1">
      <alignment horizontal="left" vertical="center" wrapText="1"/>
    </xf>
    <xf numFmtId="0" fontId="14" fillId="5" borderId="41" xfId="0" applyFont="1" applyFill="1" applyBorder="1" applyAlignment="1">
      <alignment horizontal="left" vertical="center" wrapText="1"/>
    </xf>
    <xf numFmtId="0" fontId="14" fillId="5" borderId="39" xfId="0" applyFont="1" applyFill="1" applyBorder="1" applyAlignment="1">
      <alignment horizontal="left" vertical="center" wrapText="1"/>
    </xf>
    <xf numFmtId="0" fontId="9" fillId="0" borderId="0" xfId="0" applyFont="1" applyAlignment="1">
      <alignment vertical="top"/>
    </xf>
    <xf numFmtId="0" fontId="0" fillId="0" borderId="16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23" fillId="0" borderId="0" xfId="0" applyFont="1" applyAlignment="1">
      <alignment vertical="center" wrapText="1"/>
    </xf>
    <xf numFmtId="0" fontId="24" fillId="0" borderId="30" xfId="0" applyFont="1" applyBorder="1" applyAlignment="1">
      <alignment horizontal="center" vertical="center" wrapText="1"/>
    </xf>
    <xf numFmtId="0" fontId="24" fillId="0" borderId="32" xfId="0" applyFont="1" applyBorder="1" applyAlignment="1">
      <alignment horizontal="center" vertical="center" wrapText="1"/>
    </xf>
    <xf numFmtId="0" fontId="24" fillId="0" borderId="9" xfId="0" applyFont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24" fillId="0" borderId="31" xfId="0" applyFont="1" applyBorder="1" applyAlignment="1">
      <alignment horizontal="center" vertical="center" wrapText="1"/>
    </xf>
    <xf numFmtId="2" fontId="27" fillId="4" borderId="22" xfId="0" applyNumberFormat="1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164" fontId="0" fillId="4" borderId="15" xfId="0" applyNumberFormat="1" applyFill="1" applyBorder="1" applyAlignment="1">
      <alignment horizontal="center" vertical="center"/>
    </xf>
    <xf numFmtId="164" fontId="0" fillId="4" borderId="15" xfId="0" applyNumberFormat="1" applyFill="1" applyBorder="1" applyAlignment="1">
      <alignment horizontal="center"/>
    </xf>
    <xf numFmtId="0" fontId="0" fillId="2" borderId="17" xfId="0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14" fillId="5" borderId="16" xfId="0" applyFont="1" applyFill="1" applyBorder="1" applyAlignment="1">
      <alignment horizontal="center" vertical="center" wrapText="1"/>
    </xf>
    <xf numFmtId="0" fontId="14" fillId="5" borderId="18" xfId="0" applyFont="1" applyFill="1" applyBorder="1" applyAlignment="1">
      <alignment horizontal="center" vertical="center" wrapText="1"/>
    </xf>
    <xf numFmtId="0" fontId="14" fillId="5" borderId="41" xfId="0" applyFont="1" applyFill="1" applyBorder="1" applyAlignment="1">
      <alignment horizontal="center" vertical="center" wrapText="1"/>
    </xf>
    <xf numFmtId="0" fontId="14" fillId="5" borderId="39" xfId="0" applyFont="1" applyFill="1" applyBorder="1" applyAlignment="1">
      <alignment horizontal="center" vertical="center" wrapText="1"/>
    </xf>
    <xf numFmtId="0" fontId="15" fillId="5" borderId="36" xfId="0" applyFont="1" applyFill="1" applyBorder="1" applyAlignment="1">
      <alignment horizontal="left" vertical="center" wrapText="1"/>
    </xf>
    <xf numFmtId="0" fontId="15" fillId="5" borderId="0" xfId="0" applyFont="1" applyFill="1" applyAlignment="1">
      <alignment horizontal="left" vertical="center" wrapText="1"/>
    </xf>
    <xf numFmtId="0" fontId="15" fillId="5" borderId="37" xfId="0" applyFont="1" applyFill="1" applyBorder="1" applyAlignment="1">
      <alignment horizontal="left" vertical="center" wrapText="1"/>
    </xf>
    <xf numFmtId="0" fontId="20" fillId="5" borderId="33" xfId="0" applyFont="1" applyFill="1" applyBorder="1" applyAlignment="1">
      <alignment horizontal="left" vertical="center" wrapText="1"/>
    </xf>
    <xf numFmtId="0" fontId="20" fillId="5" borderId="34" xfId="0" applyFont="1" applyFill="1" applyBorder="1" applyAlignment="1">
      <alignment horizontal="left" vertical="center" wrapText="1"/>
    </xf>
    <xf numFmtId="0" fontId="20" fillId="5" borderId="35" xfId="0" applyFont="1" applyFill="1" applyBorder="1" applyAlignment="1">
      <alignment horizontal="left" vertical="center" wrapText="1"/>
    </xf>
    <xf numFmtId="0" fontId="22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0" fontId="14" fillId="5" borderId="40" xfId="0" applyFont="1" applyFill="1" applyBorder="1" applyAlignment="1">
      <alignment horizontal="center" vertical="center" wrapText="1"/>
    </xf>
    <xf numFmtId="0" fontId="14" fillId="5" borderId="38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5" fillId="5" borderId="16" xfId="0" applyFont="1" applyFill="1" applyBorder="1" applyAlignment="1">
      <alignment horizontal="center" vertical="center" wrapText="1"/>
    </xf>
    <xf numFmtId="0" fontId="15" fillId="5" borderId="18" xfId="0" applyFont="1" applyFill="1" applyBorder="1" applyAlignment="1">
      <alignment horizontal="center" vertical="center" wrapText="1"/>
    </xf>
    <xf numFmtId="0" fontId="13" fillId="5" borderId="36" xfId="0" applyFont="1" applyFill="1" applyBorder="1" applyAlignment="1">
      <alignment horizontal="left" vertical="center" wrapText="1"/>
    </xf>
    <xf numFmtId="0" fontId="13" fillId="5" borderId="0" xfId="0" applyFont="1" applyFill="1" applyAlignment="1">
      <alignment horizontal="left" vertical="center" wrapText="1"/>
    </xf>
    <xf numFmtId="0" fontId="13" fillId="5" borderId="37" xfId="0" applyFont="1" applyFill="1" applyBorder="1" applyAlignment="1">
      <alignment horizontal="left" vertical="center" wrapText="1"/>
    </xf>
    <xf numFmtId="0" fontId="18" fillId="0" borderId="0" xfId="0" applyFont="1" applyAlignment="1">
      <alignment wrapText="1"/>
    </xf>
    <xf numFmtId="0" fontId="0" fillId="0" borderId="30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textRotation="90"/>
    </xf>
    <xf numFmtId="0" fontId="5" fillId="0" borderId="10" xfId="0" applyFont="1" applyBorder="1" applyAlignment="1">
      <alignment horizontal="justify" vertical="center" wrapText="1"/>
    </xf>
    <xf numFmtId="0" fontId="5" fillId="0" borderId="0" xfId="0" applyFont="1" applyAlignment="1">
      <alignment horizontal="justify" vertical="center" wrapText="1"/>
    </xf>
    <xf numFmtId="0" fontId="5" fillId="0" borderId="11" xfId="0" applyFont="1" applyBorder="1" applyAlignment="1">
      <alignment horizontal="justify" vertical="center" wrapText="1"/>
    </xf>
    <xf numFmtId="0" fontId="5" fillId="0" borderId="12" xfId="0" applyFont="1" applyBorder="1" applyAlignment="1">
      <alignment horizontal="justify" vertical="center" wrapText="1"/>
    </xf>
    <xf numFmtId="0" fontId="5" fillId="0" borderId="13" xfId="0" applyFont="1" applyBorder="1" applyAlignment="1">
      <alignment horizontal="justify" vertical="center" wrapText="1"/>
    </xf>
    <xf numFmtId="0" fontId="5" fillId="0" borderId="14" xfId="0" applyFont="1" applyBorder="1" applyAlignment="1">
      <alignment horizontal="justify" vertical="center" wrapText="1"/>
    </xf>
    <xf numFmtId="0" fontId="5" fillId="0" borderId="8" xfId="0" applyFont="1" applyBorder="1" applyAlignment="1">
      <alignment horizontal="justify" vertical="center" wrapText="1"/>
    </xf>
    <xf numFmtId="0" fontId="5" fillId="0" borderId="5" xfId="0" applyFont="1" applyBorder="1" applyAlignment="1">
      <alignment horizontal="justify" vertical="center" wrapText="1"/>
    </xf>
    <xf numFmtId="0" fontId="5" fillId="0" borderId="9" xfId="0" applyFont="1" applyBorder="1" applyAlignment="1">
      <alignment horizontal="justify" vertical="center" wrapText="1"/>
    </xf>
    <xf numFmtId="0" fontId="5" fillId="0" borderId="30" xfId="0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0" fillId="0" borderId="30" xfId="0" applyBorder="1" applyAlignment="1">
      <alignment horizontal="center" vertical="center" textRotation="90" wrapText="1"/>
    </xf>
    <xf numFmtId="0" fontId="0" fillId="0" borderId="32" xfId="0" applyBorder="1" applyAlignment="1">
      <alignment horizontal="center" vertical="center" textRotation="90" wrapText="1"/>
    </xf>
    <xf numFmtId="0" fontId="0" fillId="0" borderId="31" xfId="0" applyBorder="1" applyAlignment="1">
      <alignment horizontal="center" vertical="center" textRotation="90" wrapText="1"/>
    </xf>
    <xf numFmtId="0" fontId="24" fillId="0" borderId="2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24" fillId="0" borderId="30" xfId="0" applyFont="1" applyBorder="1" applyAlignment="1">
      <alignment horizontal="center" vertical="center" wrapText="1"/>
    </xf>
    <xf numFmtId="0" fontId="24" fillId="0" borderId="32" xfId="0" applyFont="1" applyBorder="1" applyAlignment="1">
      <alignment horizontal="center" vertical="center" wrapText="1"/>
    </xf>
    <xf numFmtId="0" fontId="24" fillId="0" borderId="31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0" fontId="24" fillId="0" borderId="9" xfId="0" applyFont="1" applyBorder="1" applyAlignment="1">
      <alignment horizontal="center" vertical="center" wrapText="1"/>
    </xf>
  </cellXfs>
  <cellStyles count="1">
    <cellStyle name="Обычный" xfId="0" builtinId="0"/>
  </cellStyles>
  <dxfs count="3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676275</xdr:colOff>
      <xdr:row>8</xdr:row>
      <xdr:rowOff>9525</xdr:rowOff>
    </xdr:from>
    <xdr:to>
      <xdr:col>6</xdr:col>
      <xdr:colOff>28575</xdr:colOff>
      <xdr:row>9</xdr:row>
      <xdr:rowOff>190500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695825" y="2105025"/>
          <a:ext cx="278130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0</xdr:colOff>
      <xdr:row>5</xdr:row>
      <xdr:rowOff>190500</xdr:rowOff>
    </xdr:from>
    <xdr:to>
      <xdr:col>5</xdr:col>
      <xdr:colOff>0</xdr:colOff>
      <xdr:row>12</xdr:row>
      <xdr:rowOff>19050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685800" y="590550"/>
          <a:ext cx="0" cy="1228725"/>
        </a:xfrm>
        <a:prstGeom prst="line">
          <a:avLst/>
        </a:prstGeom>
        <a:ln w="25400"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314325</xdr:colOff>
      <xdr:row>6</xdr:row>
      <xdr:rowOff>19050</xdr:rowOff>
    </xdr:from>
    <xdr:to>
      <xdr:col>5</xdr:col>
      <xdr:colOff>0</xdr:colOff>
      <xdr:row>7</xdr:row>
      <xdr:rowOff>95250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314325" y="619125"/>
          <a:ext cx="371475" cy="276225"/>
        </a:xfrm>
        <a:prstGeom prst="line">
          <a:avLst/>
        </a:prstGeom>
        <a:ln w="15875"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304800</xdr:colOff>
      <xdr:row>8</xdr:row>
      <xdr:rowOff>9525</xdr:rowOff>
    </xdr:from>
    <xdr:to>
      <xdr:col>4</xdr:col>
      <xdr:colOff>676275</xdr:colOff>
      <xdr:row>9</xdr:row>
      <xdr:rowOff>85725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V="1">
          <a:off x="304800" y="1009650"/>
          <a:ext cx="371475" cy="276225"/>
        </a:xfrm>
        <a:prstGeom prst="line">
          <a:avLst/>
        </a:prstGeom>
        <a:ln w="15875"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314325</xdr:colOff>
      <xdr:row>10</xdr:row>
      <xdr:rowOff>0</xdr:rowOff>
    </xdr:from>
    <xdr:to>
      <xdr:col>5</xdr:col>
      <xdr:colOff>0</xdr:colOff>
      <xdr:row>11</xdr:row>
      <xdr:rowOff>76200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V="1">
          <a:off x="314325" y="1400175"/>
          <a:ext cx="371475" cy="276225"/>
        </a:xfrm>
        <a:prstGeom prst="line">
          <a:avLst/>
        </a:prstGeom>
        <a:ln w="15875"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314325</xdr:colOff>
      <xdr:row>11</xdr:row>
      <xdr:rowOff>190500</xdr:rowOff>
    </xdr:from>
    <xdr:to>
      <xdr:col>5</xdr:col>
      <xdr:colOff>0</xdr:colOff>
      <xdr:row>13</xdr:row>
      <xdr:rowOff>66675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V="1">
          <a:off x="314325" y="1790700"/>
          <a:ext cx="371475" cy="276225"/>
        </a:xfrm>
        <a:prstGeom prst="line">
          <a:avLst/>
        </a:prstGeom>
        <a:ln w="15875"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866775</xdr:colOff>
      <xdr:row>0</xdr:row>
      <xdr:rowOff>0</xdr:rowOff>
    </xdr:from>
    <xdr:to>
      <xdr:col>3</xdr:col>
      <xdr:colOff>590550</xdr:colOff>
      <xdr:row>1</xdr:row>
      <xdr:rowOff>19050</xdr:rowOff>
    </xdr:to>
    <xdr:sp macro="[0]!Лист1.AddCol" textlink="">
      <xdr:nvSpPr>
        <xdr:cNvPr id="13" name="Знак ''плюс''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819650" y="0"/>
          <a:ext cx="657225" cy="657225"/>
        </a:xfrm>
        <a:prstGeom prst="mathPlus">
          <a:avLst/>
        </a:prstGeom>
        <a:ln w="12700" cap="flat" cmpd="sng" algn="ctr">
          <a:solidFill>
            <a:schemeClr val="accent6"/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 w="0" h="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523875</xdr:colOff>
      <xdr:row>0</xdr:row>
      <xdr:rowOff>19051</xdr:rowOff>
    </xdr:from>
    <xdr:to>
      <xdr:col>4</xdr:col>
      <xdr:colOff>247650</xdr:colOff>
      <xdr:row>0</xdr:row>
      <xdr:rowOff>628651</xdr:rowOff>
    </xdr:to>
    <xdr:sp macro="[0]!Лист1.RemCol" textlink="">
      <xdr:nvSpPr>
        <xdr:cNvPr id="14" name="Знак ''минус''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410200" y="19051"/>
          <a:ext cx="657225" cy="609600"/>
        </a:xfrm>
        <a:prstGeom prst="mathMinus">
          <a:avLst/>
        </a:prstGeom>
        <a:ln w="12700" cap="flat" cmpd="sng" algn="ctr">
          <a:solidFill>
            <a:schemeClr val="accent2"/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 w="0" h="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1082" name="ComboBox1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83" name="ComboBox2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1AE4D-C918-4670-978B-F274D6E135BD}">
  <sheetPr codeName="Лист1"/>
  <dimension ref="A1:F22"/>
  <sheetViews>
    <sheetView tabSelected="1" workbookViewId="0">
      <selection activeCell="B21" sqref="B21"/>
    </sheetView>
  </sheetViews>
  <sheetFormatPr defaultRowHeight="15.75" x14ac:dyDescent="0.25"/>
  <cols>
    <col min="1" max="1" width="9" style="2"/>
    <col min="2" max="2" width="42.875" style="2" customWidth="1"/>
    <col min="3" max="4" width="12.25" style="2" customWidth="1"/>
    <col min="5" max="16384" width="9" style="2"/>
  </cols>
  <sheetData>
    <row r="1" spans="1:6" ht="50.25" customHeight="1" thickBot="1" x14ac:dyDescent="0.3">
      <c r="B1" s="65" t="s">
        <v>14</v>
      </c>
      <c r="C1" s="65"/>
      <c r="D1" s="4"/>
    </row>
    <row r="2" spans="1:6" ht="19.5" thickBot="1" x14ac:dyDescent="0.3">
      <c r="A2" s="22" t="s">
        <v>11</v>
      </c>
      <c r="B2" s="23" t="s">
        <v>8</v>
      </c>
      <c r="C2" s="23" t="s">
        <v>9</v>
      </c>
      <c r="D2" s="24" t="s">
        <v>10</v>
      </c>
      <c r="F2" s="7" t="s">
        <v>3</v>
      </c>
    </row>
    <row r="3" spans="1:6" x14ac:dyDescent="0.25">
      <c r="A3" s="18">
        <v>1</v>
      </c>
      <c r="B3" s="19" t="s">
        <v>0</v>
      </c>
      <c r="C3" s="20" t="s">
        <v>2</v>
      </c>
      <c r="D3" s="21" t="s">
        <v>1</v>
      </c>
      <c r="E3" s="8"/>
      <c r="F3" s="5">
        <v>0.7</v>
      </c>
    </row>
    <row r="4" spans="1:6" x14ac:dyDescent="0.25">
      <c r="A4" s="12">
        <v>2</v>
      </c>
      <c r="B4" s="10" t="s">
        <v>17</v>
      </c>
      <c r="C4" s="9" t="s">
        <v>7</v>
      </c>
      <c r="D4" s="13" t="s">
        <v>4</v>
      </c>
      <c r="E4" s="58"/>
      <c r="F4" s="59">
        <v>2</v>
      </c>
    </row>
    <row r="5" spans="1:6" x14ac:dyDescent="0.25">
      <c r="A5" s="12">
        <v>3</v>
      </c>
      <c r="B5" s="10" t="s">
        <v>15</v>
      </c>
      <c r="C5" s="9" t="s">
        <v>6</v>
      </c>
      <c r="D5" s="13" t="s">
        <v>5</v>
      </c>
      <c r="E5" s="58"/>
      <c r="F5" s="59"/>
    </row>
    <row r="6" spans="1:6" ht="16.5" thickBot="1" x14ac:dyDescent="0.3">
      <c r="A6" s="14">
        <v>4</v>
      </c>
      <c r="B6" s="15" t="s">
        <v>16</v>
      </c>
      <c r="C6" s="16" t="s">
        <v>12</v>
      </c>
      <c r="D6" s="17" t="s">
        <v>13</v>
      </c>
      <c r="E6" s="8"/>
      <c r="F6" s="6">
        <f>IF(F3&lt;&gt;0,F4*F3*(SUM($F$3:F3)-F3/2),0)+IF(F3&lt;&gt;0,F5*SUM($F$3:F3),0)</f>
        <v>0.48999999999999994</v>
      </c>
    </row>
    <row r="7" spans="1:6" ht="16.5" thickBot="1" x14ac:dyDescent="0.3">
      <c r="F7" s="3"/>
    </row>
    <row r="8" spans="1:6" x14ac:dyDescent="0.25">
      <c r="B8" s="46" t="s">
        <v>354</v>
      </c>
      <c r="C8" s="64">
        <v>240</v>
      </c>
      <c r="D8" s="11" t="s">
        <v>458</v>
      </c>
    </row>
    <row r="9" spans="1:6" ht="17.100000000000001" customHeight="1" x14ac:dyDescent="0.25">
      <c r="B9" s="12"/>
      <c r="C9" s="9" t="s">
        <v>563</v>
      </c>
      <c r="D9" s="13"/>
    </row>
    <row r="10" spans="1:6" ht="17.100000000000001" customHeight="1" x14ac:dyDescent="0.25">
      <c r="B10" s="12"/>
      <c r="C10" s="29" t="s">
        <v>500</v>
      </c>
      <c r="D10" s="13"/>
    </row>
    <row r="11" spans="1:6" x14ac:dyDescent="0.25">
      <c r="B11" s="47" t="str">
        <f>"Количество в сечении"</f>
        <v>Количество в сечении</v>
      </c>
      <c r="C11" s="60">
        <v>2</v>
      </c>
      <c r="D11" s="13" t="s">
        <v>352</v>
      </c>
    </row>
    <row r="12" spans="1:6" ht="18.75" x14ac:dyDescent="0.25">
      <c r="B12" s="47" t="s">
        <v>562</v>
      </c>
      <c r="C12" s="61">
        <f>VLOOKUP(C10,Швеллеры!B5:R82,11,FALSE)/1000000*C11</f>
        <v>1.4080000000000001E-4</v>
      </c>
      <c r="D12" s="13" t="s">
        <v>19</v>
      </c>
      <c r="F12" s="57" t="str">
        <f>"L="&amp;SUM($F$3:G3)&amp;"м"</f>
        <v>L=0.7м</v>
      </c>
    </row>
    <row r="13" spans="1:6" ht="18.75" x14ac:dyDescent="0.25">
      <c r="B13" s="47" t="s">
        <v>18</v>
      </c>
      <c r="C13" s="62">
        <f>SUM(F6:G6)</f>
        <v>0.48999999999999994</v>
      </c>
      <c r="D13" s="13" t="s">
        <v>13</v>
      </c>
    </row>
    <row r="14" spans="1:6" x14ac:dyDescent="0.25">
      <c r="B14" s="47" t="s">
        <v>353</v>
      </c>
      <c r="C14" s="63">
        <f>C13/C12/1000*9.80665</f>
        <v>34.128256392045444</v>
      </c>
      <c r="D14" s="13" t="s">
        <v>458</v>
      </c>
    </row>
    <row r="15" spans="1:6" ht="19.5" thickBot="1" x14ac:dyDescent="0.35">
      <c r="B15" s="48" t="s">
        <v>459</v>
      </c>
      <c r="C15" s="56">
        <f>C8/C14</f>
        <v>7.0322959732551356</v>
      </c>
      <c r="D15" s="17"/>
    </row>
    <row r="22" spans="2:2" x14ac:dyDescent="0.25">
      <c r="B22" s="1"/>
    </row>
  </sheetData>
  <mergeCells count="1">
    <mergeCell ref="B1:C1"/>
  </mergeCells>
  <phoneticPr fontId="2" type="noConversion"/>
  <conditionalFormatting sqref="C15">
    <cfRule type="cellIs" dxfId="2" priority="1" operator="greaterThan">
      <formula>1.15</formula>
    </cfRule>
    <cfRule type="cellIs" dxfId="1" priority="2" operator="between">
      <formula>1</formula>
      <formula>1.15</formula>
    </cfRule>
    <cfRule type="cellIs" dxfId="0" priority="3" operator="between">
      <formula>0</formula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2" r:id="rId3" name="ComboBox1">
          <controlPr defaultSize="0" autoLine="0" autoPict="0" r:id="rId4">
            <anchor moveWithCells="1">
              <from>
                <xdr:col>0</xdr:col>
                <xdr:colOff>685800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082" r:id="rId3" name="ComboBox1"/>
      </mc:Fallback>
    </mc:AlternateContent>
    <mc:AlternateContent xmlns:mc="http://schemas.openxmlformats.org/markup-compatibility/2006">
      <mc:Choice Requires="x14">
        <control shapeId="1083" r:id="rId5" name="ComboBox2">
          <controlPr defaultSize="0" autoLine="0" r:id="rId6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83" r:id="rId5" name="Combo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3E7-A539-447B-BB03-16EA1A404546}">
  <sheetPr codeName="Лист4"/>
  <dimension ref="A1:F93"/>
  <sheetViews>
    <sheetView workbookViewId="0">
      <selection activeCell="A92" sqref="A92:F92"/>
    </sheetView>
  </sheetViews>
  <sheetFormatPr defaultRowHeight="15.75" x14ac:dyDescent="0.25"/>
  <cols>
    <col min="1" max="6" width="20.5" style="30" customWidth="1"/>
    <col min="7" max="16384" width="9" style="30"/>
  </cols>
  <sheetData>
    <row r="1" spans="1:6" x14ac:dyDescent="0.25">
      <c r="A1" s="77" t="s">
        <v>443</v>
      </c>
      <c r="B1" s="77"/>
      <c r="C1" s="77"/>
      <c r="D1" s="77"/>
      <c r="E1" s="77"/>
      <c r="F1" s="77"/>
    </row>
    <row r="2" spans="1:6" ht="43.5" customHeight="1" thickBot="1" x14ac:dyDescent="0.3">
      <c r="A2" s="80" t="s">
        <v>444</v>
      </c>
      <c r="B2" s="80"/>
      <c r="C2" s="80"/>
      <c r="D2" s="80"/>
      <c r="E2" s="80"/>
      <c r="F2" s="80"/>
    </row>
    <row r="3" spans="1:6" x14ac:dyDescent="0.25">
      <c r="A3" s="79" t="s">
        <v>355</v>
      </c>
      <c r="B3" s="79" t="s">
        <v>356</v>
      </c>
      <c r="C3" s="81" t="s">
        <v>445</v>
      </c>
      <c r="D3" s="82"/>
      <c r="E3" s="81" t="s">
        <v>446</v>
      </c>
      <c r="F3" s="82"/>
    </row>
    <row r="4" spans="1:6" ht="16.5" thickBot="1" x14ac:dyDescent="0.3">
      <c r="A4" s="69"/>
      <c r="B4" s="69"/>
      <c r="C4" s="32" t="s">
        <v>447</v>
      </c>
      <c r="D4" s="33" t="s">
        <v>448</v>
      </c>
      <c r="E4" s="32" t="s">
        <v>449</v>
      </c>
      <c r="F4" s="33" t="s">
        <v>450</v>
      </c>
    </row>
    <row r="5" spans="1:6" x14ac:dyDescent="0.25">
      <c r="A5" s="34" t="s">
        <v>357</v>
      </c>
      <c r="B5" s="34" t="s">
        <v>358</v>
      </c>
      <c r="C5" s="35">
        <v>235</v>
      </c>
      <c r="D5" s="36">
        <v>360</v>
      </c>
      <c r="E5" s="35" t="s">
        <v>378</v>
      </c>
      <c r="F5" s="36" t="s">
        <v>379</v>
      </c>
    </row>
    <row r="6" spans="1:6" x14ac:dyDescent="0.25">
      <c r="A6" s="37" t="s">
        <v>359</v>
      </c>
      <c r="B6" s="37" t="s">
        <v>360</v>
      </c>
      <c r="C6" s="38">
        <v>245</v>
      </c>
      <c r="D6" s="39">
        <v>370</v>
      </c>
      <c r="E6" s="38" t="s">
        <v>380</v>
      </c>
      <c r="F6" s="39" t="s">
        <v>381</v>
      </c>
    </row>
    <row r="7" spans="1:6" x14ac:dyDescent="0.25">
      <c r="A7" s="68" t="s">
        <v>361</v>
      </c>
      <c r="B7" s="37" t="s">
        <v>362</v>
      </c>
      <c r="C7" s="38">
        <v>255</v>
      </c>
      <c r="D7" s="39">
        <v>380</v>
      </c>
      <c r="E7" s="38" t="s">
        <v>382</v>
      </c>
      <c r="F7" s="39" t="s">
        <v>383</v>
      </c>
    </row>
    <row r="8" spans="1:6" x14ac:dyDescent="0.25">
      <c r="A8" s="68"/>
      <c r="B8" s="37" t="s">
        <v>363</v>
      </c>
      <c r="C8" s="38">
        <v>245</v>
      </c>
      <c r="D8" s="39">
        <v>380</v>
      </c>
      <c r="E8" s="38" t="s">
        <v>380</v>
      </c>
      <c r="F8" s="39" t="s">
        <v>383</v>
      </c>
    </row>
    <row r="9" spans="1:6" x14ac:dyDescent="0.25">
      <c r="A9" s="68"/>
      <c r="B9" s="37" t="s">
        <v>364</v>
      </c>
      <c r="C9" s="38">
        <v>245</v>
      </c>
      <c r="D9" s="39">
        <v>370</v>
      </c>
      <c r="E9" s="38" t="s">
        <v>380</v>
      </c>
      <c r="F9" s="39" t="s">
        <v>381</v>
      </c>
    </row>
    <row r="10" spans="1:6" x14ac:dyDescent="0.25">
      <c r="A10" s="68"/>
      <c r="B10" s="37" t="s">
        <v>365</v>
      </c>
      <c r="C10" s="38">
        <v>235</v>
      </c>
      <c r="D10" s="39">
        <v>370</v>
      </c>
      <c r="E10" s="38" t="s">
        <v>378</v>
      </c>
      <c r="F10" s="39" t="s">
        <v>381</v>
      </c>
    </row>
    <row r="11" spans="1:6" x14ac:dyDescent="0.25">
      <c r="A11" s="37" t="s">
        <v>366</v>
      </c>
      <c r="B11" s="37" t="s">
        <v>367</v>
      </c>
      <c r="C11" s="38">
        <v>345</v>
      </c>
      <c r="D11" s="39">
        <v>490</v>
      </c>
      <c r="E11" s="38" t="s">
        <v>384</v>
      </c>
      <c r="F11" s="39" t="s">
        <v>385</v>
      </c>
    </row>
    <row r="12" spans="1:6" x14ac:dyDescent="0.25">
      <c r="A12" s="37" t="s">
        <v>368</v>
      </c>
      <c r="B12" s="37" t="s">
        <v>363</v>
      </c>
      <c r="C12" s="38">
        <v>345</v>
      </c>
      <c r="D12" s="39">
        <v>470</v>
      </c>
      <c r="E12" s="38" t="s">
        <v>386</v>
      </c>
      <c r="F12" s="39" t="s">
        <v>387</v>
      </c>
    </row>
    <row r="13" spans="1:6" x14ac:dyDescent="0.25">
      <c r="A13" s="68" t="s">
        <v>369</v>
      </c>
      <c r="B13" s="37" t="s">
        <v>370</v>
      </c>
      <c r="C13" s="38">
        <v>355</v>
      </c>
      <c r="D13" s="39">
        <v>490</v>
      </c>
      <c r="E13" s="38" t="s">
        <v>388</v>
      </c>
      <c r="F13" s="39" t="s">
        <v>387</v>
      </c>
    </row>
    <row r="14" spans="1:6" x14ac:dyDescent="0.25">
      <c r="A14" s="68"/>
      <c r="B14" s="37" t="s">
        <v>371</v>
      </c>
      <c r="C14" s="38">
        <v>345</v>
      </c>
      <c r="D14" s="39">
        <v>490</v>
      </c>
      <c r="E14" s="38" t="s">
        <v>384</v>
      </c>
      <c r="F14" s="39" t="s">
        <v>387</v>
      </c>
    </row>
    <row r="15" spans="1:6" x14ac:dyDescent="0.25">
      <c r="A15" s="68"/>
      <c r="B15" s="37" t="s">
        <v>372</v>
      </c>
      <c r="C15" s="38">
        <v>335</v>
      </c>
      <c r="D15" s="39">
        <v>490</v>
      </c>
      <c r="E15" s="38" t="s">
        <v>389</v>
      </c>
      <c r="F15" s="39" t="s">
        <v>387</v>
      </c>
    </row>
    <row r="16" spans="1:6" x14ac:dyDescent="0.25">
      <c r="A16" s="68"/>
      <c r="B16" s="37" t="s">
        <v>373</v>
      </c>
      <c r="C16" s="38">
        <v>325</v>
      </c>
      <c r="D16" s="39">
        <v>490</v>
      </c>
      <c r="E16" s="38" t="s">
        <v>390</v>
      </c>
      <c r="F16" s="39" t="s">
        <v>387</v>
      </c>
    </row>
    <row r="17" spans="1:6" x14ac:dyDescent="0.25">
      <c r="A17" s="68"/>
      <c r="B17" s="37" t="s">
        <v>374</v>
      </c>
      <c r="C17" s="38">
        <v>315</v>
      </c>
      <c r="D17" s="39">
        <v>470</v>
      </c>
      <c r="E17" s="38" t="s">
        <v>391</v>
      </c>
      <c r="F17" s="39" t="s">
        <v>387</v>
      </c>
    </row>
    <row r="18" spans="1:6" x14ac:dyDescent="0.25">
      <c r="A18" s="68"/>
      <c r="B18" s="37" t="s">
        <v>375</v>
      </c>
      <c r="C18" s="38">
        <v>295</v>
      </c>
      <c r="D18" s="39">
        <v>470</v>
      </c>
      <c r="E18" s="38" t="s">
        <v>392</v>
      </c>
      <c r="F18" s="39" t="s">
        <v>387</v>
      </c>
    </row>
    <row r="19" spans="1:6" x14ac:dyDescent="0.25">
      <c r="A19" s="68" t="s">
        <v>376</v>
      </c>
      <c r="B19" s="37" t="s">
        <v>370</v>
      </c>
      <c r="C19" s="38">
        <v>345</v>
      </c>
      <c r="D19" s="39">
        <v>490</v>
      </c>
      <c r="E19" s="38" t="s">
        <v>388</v>
      </c>
      <c r="F19" s="39" t="s">
        <v>387</v>
      </c>
    </row>
    <row r="20" spans="1:6" x14ac:dyDescent="0.25">
      <c r="A20" s="68"/>
      <c r="B20" s="37" t="s">
        <v>371</v>
      </c>
      <c r="C20" s="38">
        <v>345</v>
      </c>
      <c r="D20" s="39">
        <v>490</v>
      </c>
      <c r="E20" s="38" t="s">
        <v>384</v>
      </c>
      <c r="F20" s="39" t="s">
        <v>387</v>
      </c>
    </row>
    <row r="21" spans="1:6" x14ac:dyDescent="0.25">
      <c r="A21" s="68"/>
      <c r="B21" s="37" t="s">
        <v>377</v>
      </c>
      <c r="C21" s="38">
        <v>335</v>
      </c>
      <c r="D21" s="39">
        <v>490</v>
      </c>
      <c r="E21" s="38" t="s">
        <v>389</v>
      </c>
      <c r="F21" s="39" t="s">
        <v>387</v>
      </c>
    </row>
    <row r="22" spans="1:6" x14ac:dyDescent="0.25">
      <c r="A22" s="68" t="s">
        <v>393</v>
      </c>
      <c r="B22" s="37" t="s">
        <v>370</v>
      </c>
      <c r="C22" s="38">
        <v>355</v>
      </c>
      <c r="D22" s="39">
        <v>490</v>
      </c>
      <c r="E22" s="38" t="s">
        <v>388</v>
      </c>
      <c r="F22" s="39" t="s">
        <v>387</v>
      </c>
    </row>
    <row r="23" spans="1:6" x14ac:dyDescent="0.25">
      <c r="A23" s="68"/>
      <c r="B23" s="37" t="s">
        <v>371</v>
      </c>
      <c r="C23" s="38">
        <v>345</v>
      </c>
      <c r="D23" s="39">
        <v>490</v>
      </c>
      <c r="E23" s="38" t="s">
        <v>384</v>
      </c>
      <c r="F23" s="39" t="s">
        <v>387</v>
      </c>
    </row>
    <row r="24" spans="1:6" x14ac:dyDescent="0.25">
      <c r="A24" s="37" t="s">
        <v>394</v>
      </c>
      <c r="B24" s="37" t="s">
        <v>395</v>
      </c>
      <c r="C24" s="38">
        <v>390</v>
      </c>
      <c r="D24" s="39">
        <v>520</v>
      </c>
      <c r="E24" s="38" t="s">
        <v>396</v>
      </c>
      <c r="F24" s="39" t="s">
        <v>397</v>
      </c>
    </row>
    <row r="25" spans="1:6" x14ac:dyDescent="0.25">
      <c r="A25" s="37" t="s">
        <v>398</v>
      </c>
      <c r="B25" s="37" t="s">
        <v>395</v>
      </c>
      <c r="C25" s="38">
        <v>440</v>
      </c>
      <c r="D25" s="39">
        <v>540</v>
      </c>
      <c r="E25" s="38" t="s">
        <v>399</v>
      </c>
      <c r="F25" s="39" t="s">
        <v>400</v>
      </c>
    </row>
    <row r="26" spans="1:6" x14ac:dyDescent="0.25">
      <c r="A26" s="37" t="s">
        <v>401</v>
      </c>
      <c r="B26" s="37" t="s">
        <v>395</v>
      </c>
      <c r="C26" s="38">
        <v>540</v>
      </c>
      <c r="D26" s="39">
        <v>640</v>
      </c>
      <c r="E26" s="38" t="s">
        <v>400</v>
      </c>
      <c r="F26" s="39" t="s">
        <v>402</v>
      </c>
    </row>
    <row r="27" spans="1:6" x14ac:dyDescent="0.25">
      <c r="A27" s="37" t="s">
        <v>403</v>
      </c>
      <c r="B27" s="37" t="s">
        <v>395</v>
      </c>
      <c r="C27" s="38">
        <v>590</v>
      </c>
      <c r="D27" s="39">
        <v>685</v>
      </c>
      <c r="E27" s="38" t="s">
        <v>404</v>
      </c>
      <c r="F27" s="39" t="s">
        <v>405</v>
      </c>
    </row>
    <row r="28" spans="1:6" ht="16.5" thickBot="1" x14ac:dyDescent="0.3">
      <c r="A28" s="31" t="s">
        <v>406</v>
      </c>
      <c r="B28" s="31" t="s">
        <v>395</v>
      </c>
      <c r="C28" s="40">
        <v>690</v>
      </c>
      <c r="D28" s="41">
        <v>785</v>
      </c>
      <c r="E28" s="40" t="s">
        <v>407</v>
      </c>
      <c r="F28" s="41" t="s">
        <v>408</v>
      </c>
    </row>
    <row r="29" spans="1:6" ht="39.75" customHeight="1" x14ac:dyDescent="0.25">
      <c r="A29" s="83" t="s">
        <v>451</v>
      </c>
      <c r="B29" s="84"/>
      <c r="C29" s="84"/>
      <c r="D29" s="84"/>
      <c r="E29" s="84"/>
      <c r="F29" s="85"/>
    </row>
    <row r="30" spans="1:6" ht="39.75" customHeight="1" x14ac:dyDescent="0.25">
      <c r="A30" s="86" t="s">
        <v>409</v>
      </c>
      <c r="B30" s="86"/>
      <c r="C30" s="86"/>
      <c r="D30" s="86"/>
      <c r="E30" s="86"/>
      <c r="F30" s="86"/>
    </row>
    <row r="32" spans="1:6" ht="16.5" thickBot="1" x14ac:dyDescent="0.3">
      <c r="A32" s="77" t="s">
        <v>410</v>
      </c>
      <c r="B32" s="77"/>
      <c r="C32" s="77"/>
      <c r="D32" s="77"/>
      <c r="E32" s="77"/>
      <c r="F32" s="77"/>
    </row>
    <row r="33" spans="1:6" x14ac:dyDescent="0.25">
      <c r="A33" s="79" t="s">
        <v>355</v>
      </c>
      <c r="B33" s="79" t="s">
        <v>411</v>
      </c>
      <c r="C33" s="66" t="s">
        <v>452</v>
      </c>
      <c r="D33" s="67"/>
      <c r="E33" s="66" t="s">
        <v>453</v>
      </c>
      <c r="F33" s="67"/>
    </row>
    <row r="34" spans="1:6" ht="16.5" thickBot="1" x14ac:dyDescent="0.3">
      <c r="A34" s="69"/>
      <c r="B34" s="69"/>
      <c r="C34" s="32" t="s">
        <v>447</v>
      </c>
      <c r="D34" s="33" t="s">
        <v>448</v>
      </c>
      <c r="E34" s="32" t="s">
        <v>449</v>
      </c>
      <c r="F34" s="33" t="s">
        <v>450</v>
      </c>
    </row>
    <row r="35" spans="1:6" x14ac:dyDescent="0.25">
      <c r="A35" s="78" t="s">
        <v>412</v>
      </c>
      <c r="B35" s="42" t="s">
        <v>413</v>
      </c>
      <c r="C35" s="35">
        <v>255</v>
      </c>
      <c r="D35" s="36">
        <v>380</v>
      </c>
      <c r="E35" s="35">
        <v>250</v>
      </c>
      <c r="F35" s="36">
        <v>370</v>
      </c>
    </row>
    <row r="36" spans="1:6" x14ac:dyDescent="0.25">
      <c r="A36" s="68"/>
      <c r="B36" s="43" t="s">
        <v>364</v>
      </c>
      <c r="C36" s="38">
        <v>245</v>
      </c>
      <c r="D36" s="39">
        <v>370</v>
      </c>
      <c r="E36" s="38">
        <v>240</v>
      </c>
      <c r="F36" s="39">
        <v>360</v>
      </c>
    </row>
    <row r="37" spans="1:6" x14ac:dyDescent="0.25">
      <c r="A37" s="68"/>
      <c r="B37" s="43" t="s">
        <v>365</v>
      </c>
      <c r="C37" s="38">
        <v>235</v>
      </c>
      <c r="D37" s="39">
        <v>370</v>
      </c>
      <c r="E37" s="38">
        <v>230</v>
      </c>
      <c r="F37" s="39">
        <v>360</v>
      </c>
    </row>
    <row r="38" spans="1:6" x14ac:dyDescent="0.25">
      <c r="A38" s="68"/>
      <c r="B38" s="43" t="s">
        <v>414</v>
      </c>
      <c r="C38" s="38">
        <v>235</v>
      </c>
      <c r="D38" s="39">
        <v>370</v>
      </c>
      <c r="E38" s="38">
        <v>230</v>
      </c>
      <c r="F38" s="39">
        <v>360</v>
      </c>
    </row>
    <row r="39" spans="1:6" x14ac:dyDescent="0.25">
      <c r="A39" s="68"/>
      <c r="B39" s="43" t="s">
        <v>415</v>
      </c>
      <c r="C39" s="38">
        <v>225</v>
      </c>
      <c r="D39" s="39">
        <v>370</v>
      </c>
      <c r="E39" s="38">
        <v>220</v>
      </c>
      <c r="F39" s="39">
        <v>360</v>
      </c>
    </row>
    <row r="40" spans="1:6" x14ac:dyDescent="0.25">
      <c r="A40" s="68"/>
      <c r="B40" s="43" t="s">
        <v>416</v>
      </c>
      <c r="C40" s="38">
        <v>215</v>
      </c>
      <c r="D40" s="39">
        <v>370</v>
      </c>
      <c r="E40" s="38">
        <v>210</v>
      </c>
      <c r="F40" s="39">
        <v>360</v>
      </c>
    </row>
    <row r="41" spans="1:6" x14ac:dyDescent="0.25">
      <c r="A41" s="68"/>
      <c r="B41" s="43" t="s">
        <v>417</v>
      </c>
      <c r="C41" s="38">
        <v>200</v>
      </c>
      <c r="D41" s="39">
        <v>360</v>
      </c>
      <c r="E41" s="38">
        <v>195</v>
      </c>
      <c r="F41" s="39">
        <v>350</v>
      </c>
    </row>
    <row r="42" spans="1:6" x14ac:dyDescent="0.25">
      <c r="A42" s="68" t="s">
        <v>418</v>
      </c>
      <c r="B42" s="43" t="s">
        <v>413</v>
      </c>
      <c r="C42" s="38">
        <v>345</v>
      </c>
      <c r="D42" s="39">
        <v>480</v>
      </c>
      <c r="E42" s="38">
        <v>335</v>
      </c>
      <c r="F42" s="39">
        <v>470</v>
      </c>
    </row>
    <row r="43" spans="1:6" x14ac:dyDescent="0.25">
      <c r="A43" s="68"/>
      <c r="B43" s="43" t="s">
        <v>364</v>
      </c>
      <c r="C43" s="38">
        <v>325</v>
      </c>
      <c r="D43" s="39">
        <v>470</v>
      </c>
      <c r="E43" s="38">
        <v>315</v>
      </c>
      <c r="F43" s="39">
        <v>460</v>
      </c>
    </row>
    <row r="44" spans="1:6" x14ac:dyDescent="0.25">
      <c r="A44" s="68"/>
      <c r="B44" s="43" t="s">
        <v>365</v>
      </c>
      <c r="C44" s="38">
        <v>305</v>
      </c>
      <c r="D44" s="39">
        <v>460</v>
      </c>
      <c r="E44" s="38">
        <v>300</v>
      </c>
      <c r="F44" s="39">
        <v>450</v>
      </c>
    </row>
    <row r="45" spans="1:6" x14ac:dyDescent="0.25">
      <c r="A45" s="68"/>
      <c r="B45" s="43" t="s">
        <v>414</v>
      </c>
      <c r="C45" s="38">
        <v>285</v>
      </c>
      <c r="D45" s="39">
        <v>450</v>
      </c>
      <c r="E45" s="38">
        <v>280</v>
      </c>
      <c r="F45" s="39">
        <v>440</v>
      </c>
    </row>
    <row r="46" spans="1:6" x14ac:dyDescent="0.25">
      <c r="A46" s="68" t="s">
        <v>419</v>
      </c>
      <c r="B46" s="43" t="s">
        <v>413</v>
      </c>
      <c r="C46" s="38">
        <v>345</v>
      </c>
      <c r="D46" s="39">
        <v>490</v>
      </c>
      <c r="E46" s="38">
        <v>335</v>
      </c>
      <c r="F46" s="39">
        <v>480</v>
      </c>
    </row>
    <row r="47" spans="1:6" x14ac:dyDescent="0.25">
      <c r="A47" s="68"/>
      <c r="B47" s="43" t="s">
        <v>364</v>
      </c>
      <c r="C47" s="38">
        <v>325</v>
      </c>
      <c r="D47" s="39">
        <v>470</v>
      </c>
      <c r="E47" s="38">
        <v>315</v>
      </c>
      <c r="F47" s="39">
        <v>460</v>
      </c>
    </row>
    <row r="48" spans="1:6" x14ac:dyDescent="0.25">
      <c r="A48" s="68"/>
      <c r="B48" s="43" t="s">
        <v>365</v>
      </c>
      <c r="C48" s="38">
        <v>305</v>
      </c>
      <c r="D48" s="39">
        <v>460</v>
      </c>
      <c r="E48" s="38">
        <v>300</v>
      </c>
      <c r="F48" s="39">
        <v>450</v>
      </c>
    </row>
    <row r="49" spans="1:6" x14ac:dyDescent="0.25">
      <c r="A49" s="68"/>
      <c r="B49" s="43" t="s">
        <v>414</v>
      </c>
      <c r="C49" s="38">
        <v>285</v>
      </c>
      <c r="D49" s="39">
        <v>450</v>
      </c>
      <c r="E49" s="38">
        <v>280</v>
      </c>
      <c r="F49" s="39">
        <v>440</v>
      </c>
    </row>
    <row r="50" spans="1:6" x14ac:dyDescent="0.25">
      <c r="A50" s="68" t="s">
        <v>420</v>
      </c>
      <c r="B50" s="43" t="s">
        <v>421</v>
      </c>
      <c r="C50" s="38">
        <v>355</v>
      </c>
      <c r="D50" s="39">
        <v>470</v>
      </c>
      <c r="E50" s="38">
        <v>345</v>
      </c>
      <c r="F50" s="39">
        <v>460</v>
      </c>
    </row>
    <row r="51" spans="1:6" x14ac:dyDescent="0.25">
      <c r="A51" s="68"/>
      <c r="B51" s="43" t="s">
        <v>365</v>
      </c>
      <c r="C51" s="38">
        <v>345</v>
      </c>
      <c r="D51" s="39">
        <v>470</v>
      </c>
      <c r="E51" s="38">
        <v>335</v>
      </c>
      <c r="F51" s="39">
        <v>460</v>
      </c>
    </row>
    <row r="52" spans="1:6" x14ac:dyDescent="0.25">
      <c r="A52" s="68"/>
      <c r="B52" s="43" t="s">
        <v>414</v>
      </c>
      <c r="C52" s="38">
        <v>335</v>
      </c>
      <c r="D52" s="39">
        <v>470</v>
      </c>
      <c r="E52" s="38">
        <v>325</v>
      </c>
      <c r="F52" s="39">
        <v>460</v>
      </c>
    </row>
    <row r="53" spans="1:6" x14ac:dyDescent="0.25">
      <c r="A53" s="68"/>
      <c r="B53" s="43" t="s">
        <v>415</v>
      </c>
      <c r="C53" s="38">
        <v>325</v>
      </c>
      <c r="D53" s="39">
        <v>460</v>
      </c>
      <c r="E53" s="38">
        <v>315</v>
      </c>
      <c r="F53" s="39">
        <v>450</v>
      </c>
    </row>
    <row r="54" spans="1:6" x14ac:dyDescent="0.25">
      <c r="A54" s="68"/>
      <c r="B54" s="43" t="s">
        <v>416</v>
      </c>
      <c r="C54" s="38">
        <v>315</v>
      </c>
      <c r="D54" s="39">
        <v>460</v>
      </c>
      <c r="E54" s="38">
        <v>305</v>
      </c>
      <c r="F54" s="39">
        <v>450</v>
      </c>
    </row>
    <row r="55" spans="1:6" x14ac:dyDescent="0.25">
      <c r="A55" s="68"/>
      <c r="B55" s="43" t="s">
        <v>417</v>
      </c>
      <c r="C55" s="38">
        <v>295</v>
      </c>
      <c r="D55" s="39">
        <v>460</v>
      </c>
      <c r="E55" s="38">
        <v>290</v>
      </c>
      <c r="F55" s="39">
        <v>450</v>
      </c>
    </row>
    <row r="56" spans="1:6" x14ac:dyDescent="0.25">
      <c r="A56" s="68" t="s">
        <v>422</v>
      </c>
      <c r="B56" s="43" t="s">
        <v>421</v>
      </c>
      <c r="C56" s="38">
        <v>355</v>
      </c>
      <c r="D56" s="39">
        <v>470</v>
      </c>
      <c r="E56" s="38">
        <v>345</v>
      </c>
      <c r="F56" s="39">
        <v>460</v>
      </c>
    </row>
    <row r="57" spans="1:6" x14ac:dyDescent="0.25">
      <c r="A57" s="68"/>
      <c r="B57" s="43" t="s">
        <v>365</v>
      </c>
      <c r="C57" s="38">
        <v>345</v>
      </c>
      <c r="D57" s="39">
        <v>470</v>
      </c>
      <c r="E57" s="38">
        <v>335</v>
      </c>
      <c r="F57" s="39">
        <v>460</v>
      </c>
    </row>
    <row r="58" spans="1:6" x14ac:dyDescent="0.25">
      <c r="A58" s="68"/>
      <c r="B58" s="43" t="s">
        <v>414</v>
      </c>
      <c r="C58" s="38">
        <v>335</v>
      </c>
      <c r="D58" s="39">
        <v>470</v>
      </c>
      <c r="E58" s="38">
        <v>325</v>
      </c>
      <c r="F58" s="39">
        <v>460</v>
      </c>
    </row>
    <row r="59" spans="1:6" x14ac:dyDescent="0.25">
      <c r="A59" s="68" t="s">
        <v>423</v>
      </c>
      <c r="B59" s="43" t="s">
        <v>424</v>
      </c>
      <c r="C59" s="38">
        <v>390</v>
      </c>
      <c r="D59" s="39">
        <v>520</v>
      </c>
      <c r="E59" s="38">
        <v>380</v>
      </c>
      <c r="F59" s="39">
        <v>505</v>
      </c>
    </row>
    <row r="60" spans="1:6" x14ac:dyDescent="0.25">
      <c r="A60" s="68"/>
      <c r="B60" s="43" t="s">
        <v>425</v>
      </c>
      <c r="C60" s="38">
        <v>370</v>
      </c>
      <c r="D60" s="39">
        <v>490</v>
      </c>
      <c r="E60" s="38">
        <v>360</v>
      </c>
      <c r="F60" s="39">
        <v>480</v>
      </c>
    </row>
    <row r="61" spans="1:6" x14ac:dyDescent="0.25">
      <c r="A61" s="68"/>
      <c r="B61" s="43" t="s">
        <v>415</v>
      </c>
      <c r="C61" s="38">
        <v>360</v>
      </c>
      <c r="D61" s="39">
        <v>480</v>
      </c>
      <c r="E61" s="38">
        <v>350</v>
      </c>
      <c r="F61" s="39">
        <v>470</v>
      </c>
    </row>
    <row r="62" spans="1:6" x14ac:dyDescent="0.25">
      <c r="A62" s="68"/>
      <c r="B62" s="43" t="s">
        <v>416</v>
      </c>
      <c r="C62" s="38">
        <v>350</v>
      </c>
      <c r="D62" s="39">
        <v>480</v>
      </c>
      <c r="E62" s="38">
        <v>340</v>
      </c>
      <c r="F62" s="39">
        <v>470</v>
      </c>
    </row>
    <row r="63" spans="1:6" x14ac:dyDescent="0.25">
      <c r="A63" s="68"/>
      <c r="B63" s="43" t="s">
        <v>417</v>
      </c>
      <c r="C63" s="38">
        <v>330</v>
      </c>
      <c r="D63" s="39">
        <v>470</v>
      </c>
      <c r="E63" s="38">
        <v>320</v>
      </c>
      <c r="F63" s="39">
        <v>460</v>
      </c>
    </row>
    <row r="64" spans="1:6" x14ac:dyDescent="0.25">
      <c r="A64" s="68" t="s">
        <v>426</v>
      </c>
      <c r="B64" s="43" t="s">
        <v>421</v>
      </c>
      <c r="C64" s="38">
        <v>440</v>
      </c>
      <c r="D64" s="39">
        <v>600</v>
      </c>
      <c r="E64" s="38">
        <v>430</v>
      </c>
      <c r="F64" s="39">
        <v>585</v>
      </c>
    </row>
    <row r="65" spans="1:6" x14ac:dyDescent="0.25">
      <c r="A65" s="68"/>
      <c r="B65" s="43" t="s">
        <v>427</v>
      </c>
      <c r="C65" s="38">
        <v>430</v>
      </c>
      <c r="D65" s="39">
        <v>560</v>
      </c>
      <c r="E65" s="38">
        <v>420</v>
      </c>
      <c r="F65" s="39">
        <v>545</v>
      </c>
    </row>
    <row r="66" spans="1:6" x14ac:dyDescent="0.25">
      <c r="A66" s="68"/>
      <c r="B66" s="43" t="s">
        <v>428</v>
      </c>
      <c r="C66" s="38">
        <v>420</v>
      </c>
      <c r="D66" s="39">
        <v>520</v>
      </c>
      <c r="E66" s="38">
        <v>410</v>
      </c>
      <c r="F66" s="39">
        <v>505</v>
      </c>
    </row>
    <row r="67" spans="1:6" x14ac:dyDescent="0.25">
      <c r="A67" s="68"/>
      <c r="B67" s="43" t="s">
        <v>416</v>
      </c>
      <c r="C67" s="38">
        <v>400</v>
      </c>
      <c r="D67" s="39">
        <v>520</v>
      </c>
      <c r="E67" s="38">
        <v>390</v>
      </c>
      <c r="F67" s="39">
        <v>505</v>
      </c>
    </row>
    <row r="68" spans="1:6" ht="16.5" thickBot="1" x14ac:dyDescent="0.3">
      <c r="A68" s="69"/>
      <c r="B68" s="44" t="s">
        <v>417</v>
      </c>
      <c r="C68" s="40">
        <v>380</v>
      </c>
      <c r="D68" s="41">
        <v>500</v>
      </c>
      <c r="E68" s="40">
        <v>370</v>
      </c>
      <c r="F68" s="41">
        <v>490</v>
      </c>
    </row>
    <row r="69" spans="1:6" ht="16.5" thickBot="1" x14ac:dyDescent="0.3">
      <c r="A69" s="73" t="s">
        <v>454</v>
      </c>
      <c r="B69" s="74"/>
      <c r="C69" s="74"/>
      <c r="D69" s="74"/>
      <c r="E69" s="74"/>
      <c r="F69" s="75"/>
    </row>
    <row r="72" spans="1:6" ht="16.5" thickBot="1" x14ac:dyDescent="0.3">
      <c r="A72" s="77" t="s">
        <v>429</v>
      </c>
      <c r="B72" s="77"/>
      <c r="C72" s="77"/>
      <c r="D72" s="77"/>
      <c r="E72" s="77"/>
      <c r="F72" s="77"/>
    </row>
    <row r="73" spans="1:6" x14ac:dyDescent="0.25">
      <c r="A73" s="79" t="s">
        <v>355</v>
      </c>
      <c r="B73" s="79" t="s">
        <v>430</v>
      </c>
      <c r="C73" s="66" t="s">
        <v>455</v>
      </c>
      <c r="D73" s="67"/>
      <c r="E73" s="66" t="s">
        <v>456</v>
      </c>
      <c r="F73" s="67"/>
    </row>
    <row r="74" spans="1:6" ht="16.5" thickBot="1" x14ac:dyDescent="0.3">
      <c r="A74" s="69"/>
      <c r="B74" s="69"/>
      <c r="C74" s="32" t="s">
        <v>447</v>
      </c>
      <c r="D74" s="33" t="s">
        <v>448</v>
      </c>
      <c r="E74" s="32" t="s">
        <v>449</v>
      </c>
      <c r="F74" s="33" t="s">
        <v>450</v>
      </c>
    </row>
    <row r="75" spans="1:6" x14ac:dyDescent="0.25">
      <c r="A75" s="78" t="s">
        <v>359</v>
      </c>
      <c r="B75" s="34" t="s">
        <v>431</v>
      </c>
      <c r="C75" s="35">
        <v>245</v>
      </c>
      <c r="D75" s="36">
        <v>370</v>
      </c>
      <c r="E75" s="35" t="s">
        <v>380</v>
      </c>
      <c r="F75" s="36" t="s">
        <v>381</v>
      </c>
    </row>
    <row r="76" spans="1:6" x14ac:dyDescent="0.25">
      <c r="A76" s="68"/>
      <c r="B76" s="37" t="s">
        <v>432</v>
      </c>
      <c r="C76" s="38">
        <v>235</v>
      </c>
      <c r="D76" s="39">
        <v>370</v>
      </c>
      <c r="E76" s="38" t="s">
        <v>378</v>
      </c>
      <c r="F76" s="39" t="s">
        <v>381</v>
      </c>
    </row>
    <row r="77" spans="1:6" x14ac:dyDescent="0.25">
      <c r="A77" s="68" t="s">
        <v>361</v>
      </c>
      <c r="B77" s="37" t="s">
        <v>363</v>
      </c>
      <c r="C77" s="38">
        <v>255</v>
      </c>
      <c r="D77" s="39">
        <v>380</v>
      </c>
      <c r="E77" s="38" t="s">
        <v>382</v>
      </c>
      <c r="F77" s="39" t="s">
        <v>383</v>
      </c>
    </row>
    <row r="78" spans="1:6" x14ac:dyDescent="0.25">
      <c r="A78" s="68"/>
      <c r="B78" s="37" t="s">
        <v>433</v>
      </c>
      <c r="C78" s="38">
        <v>245</v>
      </c>
      <c r="D78" s="39">
        <v>370</v>
      </c>
      <c r="E78" s="38" t="s">
        <v>380</v>
      </c>
      <c r="F78" s="39" t="s">
        <v>381</v>
      </c>
    </row>
    <row r="79" spans="1:6" x14ac:dyDescent="0.25">
      <c r="A79" s="68"/>
      <c r="B79" s="37" t="s">
        <v>432</v>
      </c>
      <c r="C79" s="38">
        <v>235</v>
      </c>
      <c r="D79" s="39">
        <v>370</v>
      </c>
      <c r="E79" s="38" t="s">
        <v>378</v>
      </c>
      <c r="F79" s="39" t="s">
        <v>381</v>
      </c>
    </row>
    <row r="80" spans="1:6" x14ac:dyDescent="0.25">
      <c r="A80" s="68" t="s">
        <v>366</v>
      </c>
      <c r="B80" s="37" t="s">
        <v>363</v>
      </c>
      <c r="C80" s="38">
        <v>345</v>
      </c>
      <c r="D80" s="39">
        <v>480</v>
      </c>
      <c r="E80" s="38" t="s">
        <v>384</v>
      </c>
      <c r="F80" s="39" t="s">
        <v>434</v>
      </c>
    </row>
    <row r="81" spans="1:6" x14ac:dyDescent="0.25">
      <c r="A81" s="68"/>
      <c r="B81" s="37" t="s">
        <v>433</v>
      </c>
      <c r="C81" s="38">
        <v>325</v>
      </c>
      <c r="D81" s="39">
        <v>470</v>
      </c>
      <c r="E81" s="38" t="s">
        <v>390</v>
      </c>
      <c r="F81" s="39" t="s">
        <v>387</v>
      </c>
    </row>
    <row r="82" spans="1:6" x14ac:dyDescent="0.25">
      <c r="A82" s="68"/>
      <c r="B82" s="37" t="s">
        <v>432</v>
      </c>
      <c r="C82" s="38">
        <v>305</v>
      </c>
      <c r="D82" s="39">
        <v>460</v>
      </c>
      <c r="E82" s="38" t="s">
        <v>435</v>
      </c>
      <c r="F82" s="39" t="s">
        <v>436</v>
      </c>
    </row>
    <row r="83" spans="1:6" x14ac:dyDescent="0.25">
      <c r="A83" s="37" t="s">
        <v>368</v>
      </c>
      <c r="B83" s="37" t="s">
        <v>363</v>
      </c>
      <c r="C83" s="38">
        <v>345</v>
      </c>
      <c r="D83" s="39">
        <v>470</v>
      </c>
      <c r="E83" s="38" t="s">
        <v>384</v>
      </c>
      <c r="F83" s="39" t="s">
        <v>387</v>
      </c>
    </row>
    <row r="84" spans="1:6" x14ac:dyDescent="0.25">
      <c r="A84" s="68" t="s">
        <v>369</v>
      </c>
      <c r="B84" s="37" t="s">
        <v>370</v>
      </c>
      <c r="C84" s="38">
        <v>355</v>
      </c>
      <c r="D84" s="39">
        <v>490</v>
      </c>
      <c r="E84" s="38" t="s">
        <v>388</v>
      </c>
      <c r="F84" s="39" t="s">
        <v>387</v>
      </c>
    </row>
    <row r="85" spans="1:6" x14ac:dyDescent="0.25">
      <c r="A85" s="68"/>
      <c r="B85" s="37" t="s">
        <v>371</v>
      </c>
      <c r="C85" s="38">
        <v>345</v>
      </c>
      <c r="D85" s="39">
        <v>480</v>
      </c>
      <c r="E85" s="38" t="s">
        <v>384</v>
      </c>
      <c r="F85" s="39" t="s">
        <v>387</v>
      </c>
    </row>
    <row r="86" spans="1:6" x14ac:dyDescent="0.25">
      <c r="A86" s="68" t="s">
        <v>437</v>
      </c>
      <c r="B86" s="37" t="s">
        <v>370</v>
      </c>
      <c r="C86" s="38">
        <v>355</v>
      </c>
      <c r="D86" s="39">
        <v>490</v>
      </c>
      <c r="E86" s="38" t="s">
        <v>388</v>
      </c>
      <c r="F86" s="39" t="s">
        <v>387</v>
      </c>
    </row>
    <row r="87" spans="1:6" x14ac:dyDescent="0.25">
      <c r="A87" s="68"/>
      <c r="B87" s="37" t="s">
        <v>371</v>
      </c>
      <c r="C87" s="38">
        <v>345</v>
      </c>
      <c r="D87" s="39">
        <v>480</v>
      </c>
      <c r="E87" s="38" t="s">
        <v>384</v>
      </c>
      <c r="F87" s="39" t="s">
        <v>387</v>
      </c>
    </row>
    <row r="88" spans="1:6" x14ac:dyDescent="0.25">
      <c r="A88" s="68" t="s">
        <v>438</v>
      </c>
      <c r="B88" s="37" t="s">
        <v>439</v>
      </c>
      <c r="C88" s="38">
        <v>390</v>
      </c>
      <c r="D88" s="39">
        <v>520</v>
      </c>
      <c r="E88" s="38" t="s">
        <v>396</v>
      </c>
      <c r="F88" s="39" t="s">
        <v>397</v>
      </c>
    </row>
    <row r="89" spans="1:6" x14ac:dyDescent="0.25">
      <c r="A89" s="68"/>
      <c r="B89" s="37" t="s">
        <v>433</v>
      </c>
      <c r="C89" s="38">
        <v>380</v>
      </c>
      <c r="D89" s="39">
        <v>500</v>
      </c>
      <c r="E89" s="38" t="s">
        <v>383</v>
      </c>
      <c r="F89" s="39" t="s">
        <v>440</v>
      </c>
    </row>
    <row r="90" spans="1:6" ht="16.5" thickBot="1" x14ac:dyDescent="0.3">
      <c r="A90" s="69"/>
      <c r="B90" s="31" t="s">
        <v>432</v>
      </c>
      <c r="C90" s="40">
        <v>370</v>
      </c>
      <c r="D90" s="41">
        <v>490</v>
      </c>
      <c r="E90" s="40" t="s">
        <v>381</v>
      </c>
      <c r="F90" s="41" t="s">
        <v>385</v>
      </c>
    </row>
    <row r="91" spans="1:6" x14ac:dyDescent="0.25">
      <c r="A91" s="70" t="s">
        <v>441</v>
      </c>
      <c r="B91" s="71"/>
      <c r="C91" s="71"/>
      <c r="D91" s="71"/>
      <c r="E91" s="71"/>
      <c r="F91" s="72"/>
    </row>
    <row r="92" spans="1:6" ht="50.25" customHeight="1" x14ac:dyDescent="0.25">
      <c r="A92" s="70" t="s">
        <v>457</v>
      </c>
      <c r="B92" s="71"/>
      <c r="C92" s="71"/>
      <c r="D92" s="71"/>
      <c r="E92" s="71"/>
      <c r="F92" s="72"/>
    </row>
    <row r="93" spans="1:6" s="45" customFormat="1" ht="39.75" customHeight="1" x14ac:dyDescent="0.25">
      <c r="A93" s="76" t="s">
        <v>442</v>
      </c>
      <c r="B93" s="76"/>
      <c r="C93" s="76"/>
      <c r="D93" s="76"/>
      <c r="E93" s="76"/>
      <c r="F93" s="76"/>
    </row>
  </sheetData>
  <mergeCells count="39">
    <mergeCell ref="A32:F32"/>
    <mergeCell ref="A33:A34"/>
    <mergeCell ref="A22:A23"/>
    <mergeCell ref="A29:F29"/>
    <mergeCell ref="A30:F30"/>
    <mergeCell ref="B33:B34"/>
    <mergeCell ref="C33:D33"/>
    <mergeCell ref="E33:F33"/>
    <mergeCell ref="A7:A10"/>
    <mergeCell ref="A13:A18"/>
    <mergeCell ref="A19:A21"/>
    <mergeCell ref="A1:F1"/>
    <mergeCell ref="A2:F2"/>
    <mergeCell ref="A3:A4"/>
    <mergeCell ref="B3:B4"/>
    <mergeCell ref="C3:D3"/>
    <mergeCell ref="E3:F3"/>
    <mergeCell ref="A35:A41"/>
    <mergeCell ref="A50:A55"/>
    <mergeCell ref="A46:A49"/>
    <mergeCell ref="A42:A45"/>
    <mergeCell ref="A56:A58"/>
    <mergeCell ref="A93:F93"/>
    <mergeCell ref="A72:F72"/>
    <mergeCell ref="A77:A79"/>
    <mergeCell ref="A80:A82"/>
    <mergeCell ref="A84:A85"/>
    <mergeCell ref="A86:A87"/>
    <mergeCell ref="A88:A90"/>
    <mergeCell ref="A91:F91"/>
    <mergeCell ref="A75:A76"/>
    <mergeCell ref="A73:A74"/>
    <mergeCell ref="B73:B74"/>
    <mergeCell ref="C73:D73"/>
    <mergeCell ref="E73:F73"/>
    <mergeCell ref="A59:A63"/>
    <mergeCell ref="A64:A68"/>
    <mergeCell ref="A92:F92"/>
    <mergeCell ref="A69:F6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52F3B-00C5-4BA3-B764-49622289AC29}">
  <sheetPr codeName="Лист3"/>
  <dimension ref="A1:S308"/>
  <sheetViews>
    <sheetView view="pageBreakPreview" topLeftCell="A3" zoomScale="60" zoomScaleNormal="100" workbookViewId="0">
      <selection activeCell="M247" sqref="M247"/>
    </sheetView>
  </sheetViews>
  <sheetFormatPr defaultRowHeight="15.75" x14ac:dyDescent="0.25"/>
  <sheetData>
    <row r="1" spans="1:19" ht="89.25" customHeight="1" thickBot="1" x14ac:dyDescent="0.3">
      <c r="B1" s="99" t="s">
        <v>20</v>
      </c>
      <c r="C1" s="101" t="s">
        <v>21</v>
      </c>
      <c r="D1" s="102"/>
      <c r="E1" s="102"/>
      <c r="F1" s="102"/>
      <c r="G1" s="102"/>
      <c r="H1" s="102"/>
      <c r="I1" s="103"/>
      <c r="J1" s="99" t="s">
        <v>22</v>
      </c>
      <c r="K1" s="99" t="s">
        <v>23</v>
      </c>
      <c r="L1" s="101" t="s">
        <v>24</v>
      </c>
      <c r="M1" s="102"/>
      <c r="N1" s="102"/>
      <c r="O1" s="102"/>
      <c r="P1" s="102"/>
      <c r="Q1" s="102"/>
      <c r="R1" s="102"/>
      <c r="S1" s="103"/>
    </row>
    <row r="2" spans="1:19" ht="19.5" thickBot="1" x14ac:dyDescent="0.3">
      <c r="B2" s="100"/>
      <c r="C2" s="25" t="s">
        <v>25</v>
      </c>
      <c r="D2" s="25" t="s">
        <v>26</v>
      </c>
      <c r="E2" s="25" t="s">
        <v>27</v>
      </c>
      <c r="F2" s="25" t="s">
        <v>28</v>
      </c>
      <c r="G2" s="25" t="s">
        <v>29</v>
      </c>
      <c r="H2" s="25" t="s">
        <v>30</v>
      </c>
      <c r="I2" s="25" t="s">
        <v>31</v>
      </c>
      <c r="J2" s="100"/>
      <c r="K2" s="100"/>
      <c r="L2" s="25" t="s">
        <v>32</v>
      </c>
      <c r="M2" s="25" t="s">
        <v>33</v>
      </c>
      <c r="N2" s="25" t="s">
        <v>34</v>
      </c>
      <c r="O2" s="25" t="s">
        <v>35</v>
      </c>
      <c r="P2" s="25" t="s">
        <v>36</v>
      </c>
      <c r="Q2" s="25" t="s">
        <v>37</v>
      </c>
      <c r="R2" s="26" t="s">
        <v>38</v>
      </c>
      <c r="S2" s="25" t="s">
        <v>39</v>
      </c>
    </row>
    <row r="3" spans="1:19" ht="16.5" thickBot="1" x14ac:dyDescent="0.3">
      <c r="A3" s="87" t="s">
        <v>40</v>
      </c>
      <c r="B3" s="27" t="s">
        <v>41</v>
      </c>
      <c r="C3" s="26">
        <v>100</v>
      </c>
      <c r="D3" s="26">
        <v>55</v>
      </c>
      <c r="E3" s="26">
        <v>4.0999999999999996</v>
      </c>
      <c r="F3" s="26">
        <v>5.7</v>
      </c>
      <c r="G3" s="26">
        <v>88.6</v>
      </c>
      <c r="H3" s="26">
        <v>25.5</v>
      </c>
      <c r="I3" s="26">
        <v>7</v>
      </c>
      <c r="J3" s="26">
        <v>10.32</v>
      </c>
      <c r="K3" s="26">
        <v>8.1</v>
      </c>
      <c r="L3" s="26">
        <v>171.01</v>
      </c>
      <c r="M3" s="26">
        <v>34.200000000000003</v>
      </c>
      <c r="N3" s="26">
        <v>19.7</v>
      </c>
      <c r="O3" s="26">
        <v>40.700000000000003</v>
      </c>
      <c r="P3" s="26">
        <v>15.25</v>
      </c>
      <c r="Q3" s="26">
        <v>5.54</v>
      </c>
      <c r="R3" s="26">
        <v>4.57</v>
      </c>
      <c r="S3" s="26">
        <v>12.15</v>
      </c>
    </row>
    <row r="4" spans="1:19" ht="16.5" thickBot="1" x14ac:dyDescent="0.3">
      <c r="A4" s="88"/>
      <c r="B4" s="27" t="s">
        <v>42</v>
      </c>
      <c r="C4" s="26">
        <v>117.6</v>
      </c>
      <c r="D4" s="26">
        <v>64</v>
      </c>
      <c r="E4" s="26">
        <v>3.8</v>
      </c>
      <c r="F4" s="26">
        <v>5.0999999999999996</v>
      </c>
      <c r="G4" s="26">
        <v>107.4</v>
      </c>
      <c r="H4" s="26">
        <v>30.1</v>
      </c>
      <c r="I4" s="26">
        <v>7</v>
      </c>
      <c r="J4" s="26">
        <v>11.03</v>
      </c>
      <c r="K4" s="26">
        <v>8.6999999999999993</v>
      </c>
      <c r="L4" s="26">
        <v>257.36</v>
      </c>
      <c r="M4" s="26">
        <v>43.8</v>
      </c>
      <c r="N4" s="26">
        <v>24.94</v>
      </c>
      <c r="O4" s="26">
        <v>48.3</v>
      </c>
      <c r="P4" s="26">
        <v>22.39</v>
      </c>
      <c r="Q4" s="26">
        <v>7</v>
      </c>
      <c r="R4" s="26">
        <v>5.49</v>
      </c>
      <c r="S4" s="26">
        <v>14.25</v>
      </c>
    </row>
    <row r="5" spans="1:19" ht="16.5" thickBot="1" x14ac:dyDescent="0.3">
      <c r="A5" s="88"/>
      <c r="B5" s="27" t="s">
        <v>43</v>
      </c>
      <c r="C5" s="26">
        <v>120</v>
      </c>
      <c r="D5" s="26">
        <v>64</v>
      </c>
      <c r="E5" s="26">
        <v>4.4000000000000004</v>
      </c>
      <c r="F5" s="26">
        <v>6.3</v>
      </c>
      <c r="G5" s="26">
        <v>107.4</v>
      </c>
      <c r="H5" s="26">
        <v>29.8</v>
      </c>
      <c r="I5" s="26">
        <v>7</v>
      </c>
      <c r="J5" s="26">
        <v>13.21</v>
      </c>
      <c r="K5" s="26">
        <v>10.4</v>
      </c>
      <c r="L5" s="26">
        <v>317.75</v>
      </c>
      <c r="M5" s="26">
        <v>53</v>
      </c>
      <c r="N5" s="26">
        <v>30.36</v>
      </c>
      <c r="O5" s="26">
        <v>49.04</v>
      </c>
      <c r="P5" s="26">
        <v>27.67</v>
      </c>
      <c r="Q5" s="26">
        <v>8.65</v>
      </c>
      <c r="R5" s="26">
        <v>6.79</v>
      </c>
      <c r="S5" s="26">
        <v>14.47</v>
      </c>
    </row>
    <row r="6" spans="1:19" ht="16.5" thickBot="1" x14ac:dyDescent="0.3">
      <c r="A6" s="88"/>
      <c r="B6" s="27" t="s">
        <v>44</v>
      </c>
      <c r="C6" s="26">
        <v>137.4</v>
      </c>
      <c r="D6" s="26">
        <v>73</v>
      </c>
      <c r="E6" s="26">
        <v>3.8</v>
      </c>
      <c r="F6" s="26">
        <v>5.6</v>
      </c>
      <c r="G6" s="26">
        <v>126.2</v>
      </c>
      <c r="H6" s="26">
        <v>34.6</v>
      </c>
      <c r="I6" s="26">
        <v>7</v>
      </c>
      <c r="J6" s="26">
        <v>13.39</v>
      </c>
      <c r="K6" s="26">
        <v>10.5</v>
      </c>
      <c r="L6" s="26">
        <v>434.86</v>
      </c>
      <c r="M6" s="26">
        <v>63.3</v>
      </c>
      <c r="N6" s="26">
        <v>35.799999999999997</v>
      </c>
      <c r="O6" s="26">
        <v>56.98</v>
      </c>
      <c r="P6" s="26">
        <v>36.42</v>
      </c>
      <c r="Q6" s="26">
        <v>9.98</v>
      </c>
      <c r="R6" s="26">
        <v>7.76</v>
      </c>
      <c r="S6" s="26">
        <v>16.489999999999998</v>
      </c>
    </row>
    <row r="7" spans="1:19" ht="16.5" thickBot="1" x14ac:dyDescent="0.3">
      <c r="A7" s="88"/>
      <c r="B7" s="27" t="s">
        <v>45</v>
      </c>
      <c r="C7" s="26">
        <v>140</v>
      </c>
      <c r="D7" s="26">
        <v>73</v>
      </c>
      <c r="E7" s="26">
        <v>4.7</v>
      </c>
      <c r="F7" s="26">
        <v>6.9</v>
      </c>
      <c r="G7" s="26">
        <v>126.2</v>
      </c>
      <c r="H7" s="26">
        <v>34.200000000000003</v>
      </c>
      <c r="I7" s="26">
        <v>7</v>
      </c>
      <c r="J7" s="26">
        <v>16.43</v>
      </c>
      <c r="K7" s="26">
        <v>12.9</v>
      </c>
      <c r="L7" s="26">
        <v>541.22</v>
      </c>
      <c r="M7" s="26">
        <v>77.3</v>
      </c>
      <c r="N7" s="26">
        <v>44.17</v>
      </c>
      <c r="O7" s="26">
        <v>57.4</v>
      </c>
      <c r="P7" s="26">
        <v>43.23</v>
      </c>
      <c r="Q7" s="26">
        <v>11.84</v>
      </c>
      <c r="R7" s="26">
        <v>9.6199999999999992</v>
      </c>
      <c r="S7" s="26">
        <v>16.22</v>
      </c>
    </row>
    <row r="8" spans="1:19" ht="16.5" thickBot="1" x14ac:dyDescent="0.3">
      <c r="A8" s="88"/>
      <c r="B8" s="27" t="s">
        <v>46</v>
      </c>
      <c r="C8" s="26">
        <v>157</v>
      </c>
      <c r="D8" s="26">
        <v>82</v>
      </c>
      <c r="E8" s="26">
        <v>4</v>
      </c>
      <c r="F8" s="26">
        <v>5.9</v>
      </c>
      <c r="G8" s="26">
        <v>145.19999999999999</v>
      </c>
      <c r="H8" s="26">
        <v>39</v>
      </c>
      <c r="I8" s="26">
        <v>9</v>
      </c>
      <c r="J8" s="26">
        <v>16.18</v>
      </c>
      <c r="K8" s="26">
        <v>12.7</v>
      </c>
      <c r="L8" s="26">
        <v>689.28</v>
      </c>
      <c r="M8" s="26">
        <v>87.8</v>
      </c>
      <c r="N8" s="26">
        <v>49.55</v>
      </c>
      <c r="O8" s="26">
        <v>65.27</v>
      </c>
      <c r="P8" s="26">
        <v>54.43</v>
      </c>
      <c r="Q8" s="26">
        <v>13.27</v>
      </c>
      <c r="R8" s="26">
        <v>10.35</v>
      </c>
      <c r="S8" s="26">
        <v>18.34</v>
      </c>
    </row>
    <row r="9" spans="1:19" ht="16.5" thickBot="1" x14ac:dyDescent="0.3">
      <c r="A9" s="88"/>
      <c r="B9" s="27" t="s">
        <v>47</v>
      </c>
      <c r="C9" s="26">
        <v>160</v>
      </c>
      <c r="D9" s="26">
        <v>82</v>
      </c>
      <c r="E9" s="26">
        <v>5</v>
      </c>
      <c r="F9" s="26">
        <v>7.4</v>
      </c>
      <c r="G9" s="26">
        <v>145.19999999999999</v>
      </c>
      <c r="H9" s="26">
        <v>38.5</v>
      </c>
      <c r="I9" s="26">
        <v>9</v>
      </c>
      <c r="J9" s="26">
        <v>20.09</v>
      </c>
      <c r="K9" s="26">
        <v>15.8</v>
      </c>
      <c r="L9" s="26">
        <v>869.29</v>
      </c>
      <c r="M9" s="26">
        <v>108.7</v>
      </c>
      <c r="N9" s="26">
        <v>61.93</v>
      </c>
      <c r="O9" s="26">
        <v>65.78</v>
      </c>
      <c r="P9" s="26">
        <v>68.31</v>
      </c>
      <c r="Q9" s="26">
        <v>16.66</v>
      </c>
      <c r="R9" s="26">
        <v>13.05</v>
      </c>
      <c r="S9" s="26">
        <v>18.440000000000001</v>
      </c>
    </row>
    <row r="10" spans="1:19" ht="16.5" thickBot="1" x14ac:dyDescent="0.3">
      <c r="A10" s="88"/>
      <c r="B10" s="27" t="s">
        <v>48</v>
      </c>
      <c r="C10" s="26">
        <v>177</v>
      </c>
      <c r="D10" s="26">
        <v>91</v>
      </c>
      <c r="E10" s="26">
        <v>4.3</v>
      </c>
      <c r="F10" s="26">
        <v>6.5</v>
      </c>
      <c r="G10" s="26">
        <v>164</v>
      </c>
      <c r="H10" s="26">
        <v>43.4</v>
      </c>
      <c r="I10" s="26">
        <v>9</v>
      </c>
      <c r="J10" s="26">
        <v>19.579999999999998</v>
      </c>
      <c r="K10" s="26">
        <v>15.4</v>
      </c>
      <c r="L10" s="26">
        <v>1062.74</v>
      </c>
      <c r="M10" s="26">
        <v>120.1</v>
      </c>
      <c r="N10" s="26">
        <v>67.66</v>
      </c>
      <c r="O10" s="26">
        <v>73.680000000000007</v>
      </c>
      <c r="P10" s="26">
        <v>78.489999999999995</v>
      </c>
      <c r="Q10" s="26">
        <v>17.25</v>
      </c>
      <c r="R10" s="26">
        <v>13.98</v>
      </c>
      <c r="S10" s="26">
        <v>20.02</v>
      </c>
    </row>
    <row r="11" spans="1:19" ht="16.5" thickBot="1" x14ac:dyDescent="0.3">
      <c r="A11" s="88"/>
      <c r="B11" s="27" t="s">
        <v>49</v>
      </c>
      <c r="C11" s="26">
        <v>180</v>
      </c>
      <c r="D11" s="26">
        <v>91</v>
      </c>
      <c r="E11" s="26">
        <v>5.3</v>
      </c>
      <c r="F11" s="26">
        <v>8</v>
      </c>
      <c r="G11" s="26">
        <v>164</v>
      </c>
      <c r="H11" s="26">
        <v>42.9</v>
      </c>
      <c r="I11" s="26">
        <v>9</v>
      </c>
      <c r="J11" s="26">
        <v>23.95</v>
      </c>
      <c r="K11" s="26">
        <v>18.8</v>
      </c>
      <c r="L11" s="26">
        <v>1316.96</v>
      </c>
      <c r="M11" s="26">
        <v>146.30000000000001</v>
      </c>
      <c r="N11" s="26">
        <v>83.21</v>
      </c>
      <c r="O11" s="26">
        <v>74.16</v>
      </c>
      <c r="P11" s="26">
        <v>97.45</v>
      </c>
      <c r="Q11" s="26">
        <v>21.42</v>
      </c>
      <c r="R11" s="26">
        <v>17.3</v>
      </c>
      <c r="S11" s="26">
        <v>20.170000000000002</v>
      </c>
    </row>
    <row r="12" spans="1:19" ht="16.5" thickBot="1" x14ac:dyDescent="0.3">
      <c r="A12" s="88"/>
      <c r="B12" s="27" t="s">
        <v>50</v>
      </c>
      <c r="C12" s="26">
        <v>198</v>
      </c>
      <c r="D12" s="26">
        <v>99</v>
      </c>
      <c r="E12" s="26">
        <v>4.5</v>
      </c>
      <c r="F12" s="26">
        <v>7</v>
      </c>
      <c r="G12" s="26">
        <v>184</v>
      </c>
      <c r="H12" s="26">
        <v>47.25</v>
      </c>
      <c r="I12" s="26">
        <v>11</v>
      </c>
      <c r="J12" s="26">
        <v>23.18</v>
      </c>
      <c r="K12" s="26">
        <v>18.2</v>
      </c>
      <c r="L12" s="26">
        <v>1581.56</v>
      </c>
      <c r="M12" s="26">
        <v>160</v>
      </c>
      <c r="N12" s="26">
        <v>89.88</v>
      </c>
      <c r="O12" s="26">
        <v>82.6</v>
      </c>
      <c r="P12" s="26">
        <v>113.61</v>
      </c>
      <c r="Q12" s="26">
        <v>22.95</v>
      </c>
      <c r="R12" s="26">
        <v>17.86</v>
      </c>
      <c r="S12" s="26">
        <v>22.14</v>
      </c>
    </row>
    <row r="13" spans="1:19" ht="16.5" thickBot="1" x14ac:dyDescent="0.3">
      <c r="A13" s="88"/>
      <c r="B13" s="27" t="s">
        <v>51</v>
      </c>
      <c r="C13" s="26">
        <v>200</v>
      </c>
      <c r="D13" s="26">
        <v>100</v>
      </c>
      <c r="E13" s="26">
        <v>5.5</v>
      </c>
      <c r="F13" s="26">
        <v>8</v>
      </c>
      <c r="G13" s="26">
        <v>184</v>
      </c>
      <c r="H13" s="26">
        <v>47.25</v>
      </c>
      <c r="I13" s="26">
        <v>11</v>
      </c>
      <c r="J13" s="26">
        <v>27.16</v>
      </c>
      <c r="K13" s="26">
        <v>21.3</v>
      </c>
      <c r="L13" s="26">
        <v>1844.26</v>
      </c>
      <c r="M13" s="26">
        <v>184</v>
      </c>
      <c r="N13" s="26">
        <v>104.73</v>
      </c>
      <c r="O13" s="26">
        <v>82.41</v>
      </c>
      <c r="P13" s="26">
        <v>133.91</v>
      </c>
      <c r="Q13" s="26">
        <v>26.78</v>
      </c>
      <c r="R13" s="26">
        <v>20.97</v>
      </c>
      <c r="S13" s="26">
        <v>22.21</v>
      </c>
    </row>
    <row r="14" spans="1:19" ht="16.5" thickBot="1" x14ac:dyDescent="0.3">
      <c r="A14" s="88"/>
      <c r="B14" s="27" t="s">
        <v>52</v>
      </c>
      <c r="C14" s="26">
        <v>203</v>
      </c>
      <c r="D14" s="26">
        <v>101</v>
      </c>
      <c r="E14" s="26">
        <v>6.5</v>
      </c>
      <c r="F14" s="26">
        <v>9.5</v>
      </c>
      <c r="G14" s="26">
        <v>184</v>
      </c>
      <c r="H14" s="26">
        <v>47.25</v>
      </c>
      <c r="I14" s="26">
        <v>11</v>
      </c>
      <c r="J14" s="26">
        <v>32.19</v>
      </c>
      <c r="K14" s="26">
        <v>25.3</v>
      </c>
      <c r="L14" s="26">
        <v>2218.4899999999998</v>
      </c>
      <c r="M14" s="26">
        <v>219</v>
      </c>
      <c r="N14" s="26">
        <v>124.99</v>
      </c>
      <c r="O14" s="26">
        <v>83.02</v>
      </c>
      <c r="P14" s="26">
        <v>163.93</v>
      </c>
      <c r="Q14" s="26">
        <v>32.46</v>
      </c>
      <c r="R14" s="26">
        <v>25.5</v>
      </c>
      <c r="S14" s="26">
        <v>22.57</v>
      </c>
    </row>
    <row r="15" spans="1:19" ht="16.5" thickBot="1" x14ac:dyDescent="0.3">
      <c r="A15" s="88"/>
      <c r="B15" s="27" t="s">
        <v>53</v>
      </c>
      <c r="C15" s="26">
        <v>208</v>
      </c>
      <c r="D15" s="26">
        <v>102</v>
      </c>
      <c r="E15" s="26">
        <v>8</v>
      </c>
      <c r="F15" s="26">
        <v>12</v>
      </c>
      <c r="G15" s="26">
        <v>184</v>
      </c>
      <c r="H15" s="26">
        <v>47</v>
      </c>
      <c r="I15" s="26">
        <v>11</v>
      </c>
      <c r="J15" s="26">
        <v>40.24</v>
      </c>
      <c r="K15" s="26">
        <v>31.6</v>
      </c>
      <c r="L15" s="26">
        <v>2852.62</v>
      </c>
      <c r="M15" s="26">
        <v>274</v>
      </c>
      <c r="N15" s="26">
        <v>158.46</v>
      </c>
      <c r="O15" s="26">
        <v>84.2</v>
      </c>
      <c r="P15" s="26">
        <v>213.5</v>
      </c>
      <c r="Q15" s="26">
        <v>41.86</v>
      </c>
      <c r="R15" s="26">
        <v>33.020000000000003</v>
      </c>
      <c r="S15" s="26">
        <v>23.03</v>
      </c>
    </row>
    <row r="16" spans="1:19" ht="16.5" thickBot="1" x14ac:dyDescent="0.3">
      <c r="A16" s="88"/>
      <c r="B16" s="27" t="s">
        <v>54</v>
      </c>
      <c r="C16" s="26">
        <v>248</v>
      </c>
      <c r="D16" s="26">
        <v>124</v>
      </c>
      <c r="E16" s="26">
        <v>5</v>
      </c>
      <c r="F16" s="26">
        <v>8</v>
      </c>
      <c r="G16" s="26">
        <v>232</v>
      </c>
      <c r="H16" s="26">
        <v>59.5</v>
      </c>
      <c r="I16" s="26">
        <v>12</v>
      </c>
      <c r="J16" s="26">
        <v>32.68</v>
      </c>
      <c r="K16" s="26">
        <v>25.7</v>
      </c>
      <c r="L16" s="26">
        <v>3537.11</v>
      </c>
      <c r="M16" s="26">
        <v>285</v>
      </c>
      <c r="N16" s="26">
        <v>159.68</v>
      </c>
      <c r="O16" s="26">
        <v>104.04</v>
      </c>
      <c r="P16" s="26">
        <v>254.85</v>
      </c>
      <c r="Q16" s="26">
        <v>41.11</v>
      </c>
      <c r="R16" s="26">
        <v>31.8</v>
      </c>
      <c r="S16" s="26">
        <v>27.93</v>
      </c>
    </row>
    <row r="17" spans="1:19" ht="16.5" thickBot="1" x14ac:dyDescent="0.3">
      <c r="A17" s="88"/>
      <c r="B17" s="27" t="s">
        <v>55</v>
      </c>
      <c r="C17" s="26">
        <v>250</v>
      </c>
      <c r="D17" s="26">
        <v>125</v>
      </c>
      <c r="E17" s="26">
        <v>6</v>
      </c>
      <c r="F17" s="26">
        <v>9</v>
      </c>
      <c r="G17" s="26">
        <v>232</v>
      </c>
      <c r="H17" s="26">
        <v>59.5</v>
      </c>
      <c r="I17" s="26">
        <v>12</v>
      </c>
      <c r="J17" s="26">
        <v>37.659999999999997</v>
      </c>
      <c r="K17" s="26">
        <v>29.6</v>
      </c>
      <c r="L17" s="26">
        <v>4051.73</v>
      </c>
      <c r="M17" s="26">
        <v>324</v>
      </c>
      <c r="N17" s="26">
        <v>182.93</v>
      </c>
      <c r="O17" s="26">
        <v>103.73</v>
      </c>
      <c r="P17" s="26">
        <v>293.85000000000002</v>
      </c>
      <c r="Q17" s="26">
        <v>47.02</v>
      </c>
      <c r="R17" s="26">
        <v>36.549999999999997</v>
      </c>
      <c r="S17" s="26">
        <v>27.93</v>
      </c>
    </row>
    <row r="18" spans="1:19" ht="16.5" thickBot="1" x14ac:dyDescent="0.3">
      <c r="A18" s="88"/>
      <c r="B18" s="27" t="s">
        <v>56</v>
      </c>
      <c r="C18" s="26">
        <v>255</v>
      </c>
      <c r="D18" s="26">
        <v>126</v>
      </c>
      <c r="E18" s="26">
        <v>7.5</v>
      </c>
      <c r="F18" s="26">
        <v>11.5</v>
      </c>
      <c r="G18" s="26">
        <v>232</v>
      </c>
      <c r="H18" s="26">
        <v>59.25</v>
      </c>
      <c r="I18" s="26">
        <v>12</v>
      </c>
      <c r="J18" s="26">
        <v>47.62</v>
      </c>
      <c r="K18" s="26">
        <v>37.4</v>
      </c>
      <c r="L18" s="26">
        <v>5238.16</v>
      </c>
      <c r="M18" s="26">
        <v>411</v>
      </c>
      <c r="N18" s="26">
        <v>233.88</v>
      </c>
      <c r="O18" s="26">
        <v>104.88</v>
      </c>
      <c r="P18" s="26">
        <v>384.79</v>
      </c>
      <c r="Q18" s="26">
        <v>61.08</v>
      </c>
      <c r="R18" s="26">
        <v>47.67</v>
      </c>
      <c r="S18" s="26">
        <v>28.43</v>
      </c>
    </row>
    <row r="19" spans="1:19" ht="16.5" thickBot="1" x14ac:dyDescent="0.3">
      <c r="A19" s="88"/>
      <c r="B19" s="27" t="s">
        <v>57</v>
      </c>
      <c r="C19" s="26">
        <v>260</v>
      </c>
      <c r="D19" s="26">
        <v>127</v>
      </c>
      <c r="E19" s="26">
        <v>9</v>
      </c>
      <c r="F19" s="26">
        <v>14</v>
      </c>
      <c r="G19" s="26">
        <v>232</v>
      </c>
      <c r="H19" s="26">
        <v>59</v>
      </c>
      <c r="I19" s="26">
        <v>12</v>
      </c>
      <c r="J19" s="26">
        <v>57.68</v>
      </c>
      <c r="K19" s="26">
        <v>45.3</v>
      </c>
      <c r="L19" s="26">
        <v>6481.01</v>
      </c>
      <c r="M19" s="26">
        <v>499</v>
      </c>
      <c r="N19" s="26">
        <v>286.25</v>
      </c>
      <c r="O19" s="26">
        <v>106</v>
      </c>
      <c r="P19" s="26">
        <v>480.06</v>
      </c>
      <c r="Q19" s="26">
        <v>75.599999999999994</v>
      </c>
      <c r="R19" s="26">
        <v>59.24</v>
      </c>
      <c r="S19" s="26">
        <v>28.85</v>
      </c>
    </row>
    <row r="20" spans="1:19" ht="16.5" thickBot="1" x14ac:dyDescent="0.3">
      <c r="A20" s="88"/>
      <c r="B20" s="27" t="s">
        <v>58</v>
      </c>
      <c r="C20" s="26">
        <v>298</v>
      </c>
      <c r="D20" s="26">
        <v>149</v>
      </c>
      <c r="E20" s="26">
        <v>5.5</v>
      </c>
      <c r="F20" s="26">
        <v>8</v>
      </c>
      <c r="G20" s="26">
        <v>282</v>
      </c>
      <c r="H20" s="26">
        <v>71.75</v>
      </c>
      <c r="I20" s="26">
        <v>13</v>
      </c>
      <c r="J20" s="26">
        <v>40.799999999999997</v>
      </c>
      <c r="K20" s="26">
        <v>32</v>
      </c>
      <c r="L20" s="26">
        <v>6318.22</v>
      </c>
      <c r="M20" s="26">
        <v>424</v>
      </c>
      <c r="N20" s="26">
        <v>237.53</v>
      </c>
      <c r="O20" s="26">
        <v>124.44</v>
      </c>
      <c r="P20" s="26">
        <v>442</v>
      </c>
      <c r="Q20" s="26">
        <v>59.33</v>
      </c>
      <c r="R20" s="26">
        <v>45.88</v>
      </c>
      <c r="S20" s="26">
        <v>32.909999999999997</v>
      </c>
    </row>
    <row r="21" spans="1:19" ht="16.5" thickBot="1" x14ac:dyDescent="0.3">
      <c r="A21" s="88"/>
      <c r="B21" s="27" t="s">
        <v>59</v>
      </c>
      <c r="C21" s="26">
        <v>300</v>
      </c>
      <c r="D21" s="26">
        <v>150</v>
      </c>
      <c r="E21" s="26">
        <v>6.5</v>
      </c>
      <c r="F21" s="26">
        <v>9</v>
      </c>
      <c r="G21" s="26">
        <v>282</v>
      </c>
      <c r="H21" s="26">
        <v>71.75</v>
      </c>
      <c r="I21" s="26">
        <v>13</v>
      </c>
      <c r="J21" s="26">
        <v>46.78</v>
      </c>
      <c r="K21" s="26">
        <v>36.700000000000003</v>
      </c>
      <c r="L21" s="26">
        <v>7209.26</v>
      </c>
      <c r="M21" s="26">
        <v>481</v>
      </c>
      <c r="N21" s="26">
        <v>271.06</v>
      </c>
      <c r="O21" s="26">
        <v>124.14</v>
      </c>
      <c r="P21" s="26">
        <v>507.53</v>
      </c>
      <c r="Q21" s="26">
        <v>67.67</v>
      </c>
      <c r="R21" s="26">
        <v>52.56</v>
      </c>
      <c r="S21" s="26">
        <v>32.94</v>
      </c>
    </row>
    <row r="22" spans="1:19" ht="16.5" thickBot="1" x14ac:dyDescent="0.3">
      <c r="A22" s="88"/>
      <c r="B22" s="27" t="s">
        <v>60</v>
      </c>
      <c r="C22" s="26">
        <v>305</v>
      </c>
      <c r="D22" s="26">
        <v>151</v>
      </c>
      <c r="E22" s="26">
        <v>8</v>
      </c>
      <c r="F22" s="26">
        <v>11.5</v>
      </c>
      <c r="G22" s="26">
        <v>282</v>
      </c>
      <c r="H22" s="26">
        <v>71.5</v>
      </c>
      <c r="I22" s="26">
        <v>13</v>
      </c>
      <c r="J22" s="26">
        <v>58.74</v>
      </c>
      <c r="K22" s="26">
        <v>46.1</v>
      </c>
      <c r="L22" s="26">
        <v>9254.93</v>
      </c>
      <c r="M22" s="26">
        <v>607</v>
      </c>
      <c r="N22" s="26">
        <v>344.37</v>
      </c>
      <c r="O22" s="26">
        <v>125.52</v>
      </c>
      <c r="P22" s="26">
        <v>661.88</v>
      </c>
      <c r="Q22" s="26">
        <v>87.67</v>
      </c>
      <c r="R22" s="26">
        <v>68.31</v>
      </c>
      <c r="S22" s="26">
        <v>33.57</v>
      </c>
    </row>
    <row r="23" spans="1:19" ht="16.5" thickBot="1" x14ac:dyDescent="0.3">
      <c r="A23" s="88"/>
      <c r="B23" s="27" t="s">
        <v>61</v>
      </c>
      <c r="C23" s="26">
        <v>310</v>
      </c>
      <c r="D23" s="26">
        <v>152</v>
      </c>
      <c r="E23" s="26">
        <v>9.5</v>
      </c>
      <c r="F23" s="26">
        <v>14</v>
      </c>
      <c r="G23" s="26">
        <v>282</v>
      </c>
      <c r="H23" s="26">
        <v>71.25</v>
      </c>
      <c r="I23" s="26">
        <v>13</v>
      </c>
      <c r="J23" s="26">
        <v>70.8</v>
      </c>
      <c r="K23" s="26">
        <v>55.6</v>
      </c>
      <c r="L23" s="26">
        <v>11381.41</v>
      </c>
      <c r="M23" s="26">
        <v>734</v>
      </c>
      <c r="N23" s="26">
        <v>419.4</v>
      </c>
      <c r="O23" s="26">
        <v>126.79</v>
      </c>
      <c r="P23" s="26">
        <v>822.37</v>
      </c>
      <c r="Q23" s="26">
        <v>108.21</v>
      </c>
      <c r="R23" s="26">
        <v>84.6</v>
      </c>
      <c r="S23" s="26">
        <v>34.08</v>
      </c>
    </row>
    <row r="24" spans="1:19" ht="16.5" thickBot="1" x14ac:dyDescent="0.3">
      <c r="A24" s="88"/>
      <c r="B24" s="27" t="s">
        <v>62</v>
      </c>
      <c r="C24" s="26">
        <v>346</v>
      </c>
      <c r="D24" s="26">
        <v>174</v>
      </c>
      <c r="E24" s="26">
        <v>6</v>
      </c>
      <c r="F24" s="26">
        <v>9</v>
      </c>
      <c r="G24" s="26">
        <v>328</v>
      </c>
      <c r="H24" s="26">
        <v>84</v>
      </c>
      <c r="I24" s="26">
        <v>14</v>
      </c>
      <c r="J24" s="26">
        <v>52.68</v>
      </c>
      <c r="K24" s="26">
        <v>41.4</v>
      </c>
      <c r="L24" s="26">
        <v>11094.49</v>
      </c>
      <c r="M24" s="26">
        <v>641</v>
      </c>
      <c r="N24" s="26">
        <v>358.09</v>
      </c>
      <c r="O24" s="26">
        <v>145.12</v>
      </c>
      <c r="P24" s="26">
        <v>791.54</v>
      </c>
      <c r="Q24" s="26">
        <v>90.98</v>
      </c>
      <c r="R24" s="26">
        <v>70.11</v>
      </c>
      <c r="S24" s="26">
        <v>38.76</v>
      </c>
    </row>
    <row r="25" spans="1:19" ht="16.5" thickBot="1" x14ac:dyDescent="0.3">
      <c r="A25" s="88"/>
      <c r="B25" s="27" t="s">
        <v>63</v>
      </c>
      <c r="C25" s="26">
        <v>350</v>
      </c>
      <c r="D25" s="26">
        <v>175</v>
      </c>
      <c r="E25" s="26">
        <v>7</v>
      </c>
      <c r="F25" s="26">
        <v>11</v>
      </c>
      <c r="G25" s="26">
        <v>328</v>
      </c>
      <c r="H25" s="26">
        <v>84</v>
      </c>
      <c r="I25" s="26">
        <v>14</v>
      </c>
      <c r="J25" s="26">
        <v>63.14</v>
      </c>
      <c r="K25" s="26">
        <v>49.6</v>
      </c>
      <c r="L25" s="26">
        <v>13559.01</v>
      </c>
      <c r="M25" s="26">
        <v>775</v>
      </c>
      <c r="N25" s="26">
        <v>433.96</v>
      </c>
      <c r="O25" s="26">
        <v>146.54</v>
      </c>
      <c r="P25" s="26">
        <v>984.34</v>
      </c>
      <c r="Q25" s="26">
        <v>112.5</v>
      </c>
      <c r="R25" s="26">
        <v>86.79</v>
      </c>
      <c r="S25" s="26">
        <v>39.479999999999997</v>
      </c>
    </row>
    <row r="26" spans="1:19" ht="16.5" thickBot="1" x14ac:dyDescent="0.3">
      <c r="A26" s="88"/>
      <c r="B26" s="27" t="s">
        <v>64</v>
      </c>
      <c r="C26" s="26">
        <v>355</v>
      </c>
      <c r="D26" s="26">
        <v>176</v>
      </c>
      <c r="E26" s="26">
        <v>8.5</v>
      </c>
      <c r="F26" s="26">
        <v>13.5</v>
      </c>
      <c r="G26" s="26">
        <v>328</v>
      </c>
      <c r="H26" s="26">
        <v>83.75</v>
      </c>
      <c r="I26" s="26">
        <v>14</v>
      </c>
      <c r="J26" s="26">
        <v>77.08</v>
      </c>
      <c r="K26" s="26">
        <v>60.5</v>
      </c>
      <c r="L26" s="26">
        <v>16797.02</v>
      </c>
      <c r="M26" s="26">
        <v>946</v>
      </c>
      <c r="N26" s="26">
        <v>533.54</v>
      </c>
      <c r="O26" s="26">
        <v>147.62</v>
      </c>
      <c r="P26" s="26">
        <v>1229.3599999999999</v>
      </c>
      <c r="Q26" s="26">
        <v>139.69999999999999</v>
      </c>
      <c r="R26" s="26">
        <v>108.13</v>
      </c>
      <c r="S26" s="26">
        <v>39.94</v>
      </c>
    </row>
    <row r="27" spans="1:19" ht="16.5" thickBot="1" x14ac:dyDescent="0.3">
      <c r="A27" s="88"/>
      <c r="B27" s="27" t="s">
        <v>65</v>
      </c>
      <c r="C27" s="26">
        <v>361</v>
      </c>
      <c r="D27" s="26">
        <v>177</v>
      </c>
      <c r="E27" s="26">
        <v>10</v>
      </c>
      <c r="F27" s="26">
        <v>16.5</v>
      </c>
      <c r="G27" s="26">
        <v>328</v>
      </c>
      <c r="H27" s="26">
        <v>83.5</v>
      </c>
      <c r="I27" s="26">
        <v>14</v>
      </c>
      <c r="J27" s="26">
        <v>92.89</v>
      </c>
      <c r="K27" s="26">
        <v>72.900000000000006</v>
      </c>
      <c r="L27" s="26">
        <v>20719.71</v>
      </c>
      <c r="M27" s="26">
        <v>1148</v>
      </c>
      <c r="N27" s="26">
        <v>651.07000000000005</v>
      </c>
      <c r="O27" s="26">
        <v>149.35</v>
      </c>
      <c r="P27" s="26">
        <v>1528.9</v>
      </c>
      <c r="Q27" s="26">
        <v>172.76</v>
      </c>
      <c r="R27" s="26">
        <v>134.02000000000001</v>
      </c>
      <c r="S27" s="26">
        <v>40.57</v>
      </c>
    </row>
    <row r="28" spans="1:19" ht="16.5" thickBot="1" x14ac:dyDescent="0.3">
      <c r="A28" s="88"/>
      <c r="B28" s="27" t="s">
        <v>66</v>
      </c>
      <c r="C28" s="26">
        <v>396</v>
      </c>
      <c r="D28" s="26">
        <v>199</v>
      </c>
      <c r="E28" s="26">
        <v>7</v>
      </c>
      <c r="F28" s="26">
        <v>11</v>
      </c>
      <c r="G28" s="26">
        <v>374</v>
      </c>
      <c r="H28" s="26">
        <v>96</v>
      </c>
      <c r="I28" s="26">
        <v>16</v>
      </c>
      <c r="J28" s="26">
        <v>72.16</v>
      </c>
      <c r="K28" s="26">
        <v>56.6</v>
      </c>
      <c r="L28" s="26">
        <v>20018.830000000002</v>
      </c>
      <c r="M28" s="26">
        <v>1011</v>
      </c>
      <c r="N28" s="26">
        <v>563.92999999999995</v>
      </c>
      <c r="O28" s="26">
        <v>166.56</v>
      </c>
      <c r="P28" s="26">
        <v>1447.14</v>
      </c>
      <c r="Q28" s="26">
        <v>145.44</v>
      </c>
      <c r="R28" s="26">
        <v>111.97</v>
      </c>
      <c r="S28" s="26">
        <v>44.78</v>
      </c>
    </row>
    <row r="29" spans="1:19" ht="16.5" thickBot="1" x14ac:dyDescent="0.3">
      <c r="A29" s="88"/>
      <c r="B29" s="27" t="s">
        <v>67</v>
      </c>
      <c r="C29" s="26">
        <v>400</v>
      </c>
      <c r="D29" s="26">
        <v>200</v>
      </c>
      <c r="E29" s="26">
        <v>8</v>
      </c>
      <c r="F29" s="26">
        <v>13</v>
      </c>
      <c r="G29" s="26">
        <v>374</v>
      </c>
      <c r="H29" s="26">
        <v>96</v>
      </c>
      <c r="I29" s="26">
        <v>16</v>
      </c>
      <c r="J29" s="26">
        <v>84.12</v>
      </c>
      <c r="K29" s="26">
        <v>66</v>
      </c>
      <c r="L29" s="26">
        <v>23704.43</v>
      </c>
      <c r="M29" s="26">
        <v>1185</v>
      </c>
      <c r="N29" s="26">
        <v>663.13</v>
      </c>
      <c r="O29" s="26">
        <v>167.87</v>
      </c>
      <c r="P29" s="26">
        <v>1736.38</v>
      </c>
      <c r="Q29" s="26">
        <v>173.64</v>
      </c>
      <c r="R29" s="26">
        <v>133.82</v>
      </c>
      <c r="S29" s="26">
        <v>45.43</v>
      </c>
    </row>
    <row r="30" spans="1:19" ht="16.5" thickBot="1" x14ac:dyDescent="0.3">
      <c r="A30" s="88"/>
      <c r="B30" s="27" t="s">
        <v>68</v>
      </c>
      <c r="C30" s="26">
        <v>406</v>
      </c>
      <c r="D30" s="26">
        <v>201</v>
      </c>
      <c r="E30" s="26">
        <v>9.5</v>
      </c>
      <c r="F30" s="26">
        <v>16</v>
      </c>
      <c r="G30" s="26">
        <v>374</v>
      </c>
      <c r="H30" s="26">
        <v>95.75</v>
      </c>
      <c r="I30" s="26">
        <v>16</v>
      </c>
      <c r="J30" s="26">
        <v>102.05</v>
      </c>
      <c r="K30" s="26">
        <v>80.099999999999994</v>
      </c>
      <c r="L30" s="26">
        <v>29352.46</v>
      </c>
      <c r="M30" s="26">
        <v>1446</v>
      </c>
      <c r="N30" s="26">
        <v>813.38</v>
      </c>
      <c r="O30" s="26">
        <v>169.6</v>
      </c>
      <c r="P30" s="26">
        <v>2169.88</v>
      </c>
      <c r="Q30" s="26">
        <v>215.91</v>
      </c>
      <c r="R30" s="26">
        <v>166.74</v>
      </c>
      <c r="S30" s="26">
        <v>46.11</v>
      </c>
    </row>
    <row r="31" spans="1:19" ht="16.5" thickBot="1" x14ac:dyDescent="0.3">
      <c r="A31" s="88"/>
      <c r="B31" s="27" t="s">
        <v>69</v>
      </c>
      <c r="C31" s="26">
        <v>412</v>
      </c>
      <c r="D31" s="26">
        <v>202</v>
      </c>
      <c r="E31" s="26">
        <v>11</v>
      </c>
      <c r="F31" s="26">
        <v>19</v>
      </c>
      <c r="G31" s="26">
        <v>374</v>
      </c>
      <c r="H31" s="26">
        <v>95.5</v>
      </c>
      <c r="I31" s="26">
        <v>16</v>
      </c>
      <c r="J31" s="26">
        <v>120.1</v>
      </c>
      <c r="K31" s="26">
        <v>94.3</v>
      </c>
      <c r="L31" s="26">
        <v>35196.83</v>
      </c>
      <c r="M31" s="26">
        <v>1709</v>
      </c>
      <c r="N31" s="26">
        <v>966.65</v>
      </c>
      <c r="O31" s="26">
        <v>171.19</v>
      </c>
      <c r="P31" s="26">
        <v>2616.25</v>
      </c>
      <c r="Q31" s="26">
        <v>259.02999999999997</v>
      </c>
      <c r="R31" s="26">
        <v>200.47</v>
      </c>
      <c r="S31" s="26">
        <v>46.67</v>
      </c>
    </row>
    <row r="32" spans="1:19" ht="16.5" thickBot="1" x14ac:dyDescent="0.3">
      <c r="A32" s="88"/>
      <c r="B32" s="27" t="s">
        <v>70</v>
      </c>
      <c r="C32" s="26">
        <v>446</v>
      </c>
      <c r="D32" s="26">
        <v>199</v>
      </c>
      <c r="E32" s="26">
        <v>8</v>
      </c>
      <c r="F32" s="26">
        <v>12</v>
      </c>
      <c r="G32" s="26">
        <v>422</v>
      </c>
      <c r="H32" s="26">
        <v>95.5</v>
      </c>
      <c r="I32" s="26">
        <v>18</v>
      </c>
      <c r="J32" s="26">
        <v>84.3</v>
      </c>
      <c r="K32" s="26">
        <v>66.2</v>
      </c>
      <c r="L32" s="26">
        <v>28697.35</v>
      </c>
      <c r="M32" s="26">
        <v>1287</v>
      </c>
      <c r="N32" s="26">
        <v>725.06</v>
      </c>
      <c r="O32" s="26">
        <v>184.5</v>
      </c>
      <c r="P32" s="26">
        <v>1580.02</v>
      </c>
      <c r="Q32" s="26">
        <v>158.80000000000001</v>
      </c>
      <c r="R32" s="26">
        <v>123.29</v>
      </c>
      <c r="S32" s="26">
        <v>43.29</v>
      </c>
    </row>
    <row r="33" spans="1:19" ht="16.5" thickBot="1" x14ac:dyDescent="0.3">
      <c r="A33" s="88"/>
      <c r="B33" s="27" t="s">
        <v>71</v>
      </c>
      <c r="C33" s="26">
        <v>450</v>
      </c>
      <c r="D33" s="26">
        <v>200</v>
      </c>
      <c r="E33" s="26">
        <v>9</v>
      </c>
      <c r="F33" s="26">
        <v>14</v>
      </c>
      <c r="G33" s="26">
        <v>422</v>
      </c>
      <c r="H33" s="26">
        <v>95.5</v>
      </c>
      <c r="I33" s="26">
        <v>18</v>
      </c>
      <c r="J33" s="26">
        <v>96.76</v>
      </c>
      <c r="K33" s="26">
        <v>76</v>
      </c>
      <c r="L33" s="26">
        <v>33450.76</v>
      </c>
      <c r="M33" s="26">
        <v>1487</v>
      </c>
      <c r="N33" s="26">
        <v>839.53</v>
      </c>
      <c r="O33" s="26">
        <v>185.93</v>
      </c>
      <c r="P33" s="26">
        <v>1871.56</v>
      </c>
      <c r="Q33" s="26">
        <v>187.16</v>
      </c>
      <c r="R33" s="26">
        <v>145.46</v>
      </c>
      <c r="S33" s="26">
        <v>43.98</v>
      </c>
    </row>
    <row r="34" spans="1:19" ht="16.5" thickBot="1" x14ac:dyDescent="0.3">
      <c r="A34" s="88"/>
      <c r="B34" s="27" t="s">
        <v>72</v>
      </c>
      <c r="C34" s="26">
        <v>456</v>
      </c>
      <c r="D34" s="26">
        <v>201</v>
      </c>
      <c r="E34" s="26">
        <v>10.5</v>
      </c>
      <c r="F34" s="26">
        <v>17</v>
      </c>
      <c r="G34" s="26">
        <v>422</v>
      </c>
      <c r="H34" s="26">
        <v>95.25</v>
      </c>
      <c r="I34" s="26">
        <v>18</v>
      </c>
      <c r="J34" s="26">
        <v>115.43</v>
      </c>
      <c r="K34" s="26">
        <v>90.6</v>
      </c>
      <c r="L34" s="26">
        <v>40710.410000000003</v>
      </c>
      <c r="M34" s="26">
        <v>1786</v>
      </c>
      <c r="N34" s="26">
        <v>1012.55</v>
      </c>
      <c r="O34" s="26">
        <v>187.8</v>
      </c>
      <c r="P34" s="26">
        <v>2307.61</v>
      </c>
      <c r="Q34" s="26">
        <v>229.61</v>
      </c>
      <c r="R34" s="26">
        <v>178.81</v>
      </c>
      <c r="S34" s="26">
        <v>44.71</v>
      </c>
    </row>
    <row r="35" spans="1:19" ht="16.5" thickBot="1" x14ac:dyDescent="0.3">
      <c r="A35" s="88"/>
      <c r="B35" s="27" t="s">
        <v>73</v>
      </c>
      <c r="C35" s="26">
        <v>462</v>
      </c>
      <c r="D35" s="26">
        <v>202</v>
      </c>
      <c r="E35" s="26">
        <v>12</v>
      </c>
      <c r="F35" s="26">
        <v>20</v>
      </c>
      <c r="G35" s="26">
        <v>422</v>
      </c>
      <c r="H35" s="26">
        <v>95</v>
      </c>
      <c r="I35" s="26">
        <v>18</v>
      </c>
      <c r="J35" s="26">
        <v>134.22</v>
      </c>
      <c r="K35" s="26">
        <v>105.4</v>
      </c>
      <c r="L35" s="26">
        <v>48197.42</v>
      </c>
      <c r="M35" s="26">
        <v>2087</v>
      </c>
      <c r="N35" s="26">
        <v>1188.75</v>
      </c>
      <c r="O35" s="26">
        <v>189.5</v>
      </c>
      <c r="P35" s="26">
        <v>2756.65</v>
      </c>
      <c r="Q35" s="26">
        <v>272.94</v>
      </c>
      <c r="R35" s="26">
        <v>213.01</v>
      </c>
      <c r="S35" s="26">
        <v>45.32</v>
      </c>
    </row>
    <row r="36" spans="1:19" ht="16.5" thickBot="1" x14ac:dyDescent="0.3">
      <c r="A36" s="88"/>
      <c r="B36" s="27" t="s">
        <v>74</v>
      </c>
      <c r="C36" s="26">
        <v>492</v>
      </c>
      <c r="D36" s="26">
        <v>199</v>
      </c>
      <c r="E36" s="26">
        <v>8.8000000000000007</v>
      </c>
      <c r="F36" s="26">
        <v>12</v>
      </c>
      <c r="G36" s="26">
        <v>468</v>
      </c>
      <c r="H36" s="26">
        <v>95.1</v>
      </c>
      <c r="I36" s="26">
        <v>20</v>
      </c>
      <c r="J36" s="26">
        <v>92.38</v>
      </c>
      <c r="K36" s="26">
        <v>72.5</v>
      </c>
      <c r="L36" s="26">
        <v>36841.9</v>
      </c>
      <c r="M36" s="26">
        <v>1498</v>
      </c>
      <c r="N36" s="26">
        <v>853.45</v>
      </c>
      <c r="O36" s="26">
        <v>199.7</v>
      </c>
      <c r="P36" s="26">
        <v>1581.95</v>
      </c>
      <c r="Q36" s="26">
        <v>158.99</v>
      </c>
      <c r="R36" s="26">
        <v>124.86</v>
      </c>
      <c r="S36" s="26">
        <v>41.38</v>
      </c>
    </row>
    <row r="37" spans="1:19" ht="16.5" thickBot="1" x14ac:dyDescent="0.3">
      <c r="A37" s="88"/>
      <c r="B37" s="27" t="s">
        <v>75</v>
      </c>
      <c r="C37" s="26">
        <v>496</v>
      </c>
      <c r="D37" s="26">
        <v>199</v>
      </c>
      <c r="E37" s="26">
        <v>9</v>
      </c>
      <c r="F37" s="26">
        <v>14</v>
      </c>
      <c r="G37" s="26">
        <v>468</v>
      </c>
      <c r="H37" s="26">
        <v>95</v>
      </c>
      <c r="I37" s="26">
        <v>20</v>
      </c>
      <c r="J37" s="26">
        <v>101.27</v>
      </c>
      <c r="K37" s="26">
        <v>79.5</v>
      </c>
      <c r="L37" s="26">
        <v>41869.08</v>
      </c>
      <c r="M37" s="26">
        <v>1688</v>
      </c>
      <c r="N37" s="26">
        <v>957.23</v>
      </c>
      <c r="O37" s="26">
        <v>203.33</v>
      </c>
      <c r="P37" s="26">
        <v>1844.88</v>
      </c>
      <c r="Q37" s="26">
        <v>185.42</v>
      </c>
      <c r="R37" s="26">
        <v>144.88</v>
      </c>
      <c r="S37" s="26">
        <v>42.68</v>
      </c>
    </row>
    <row r="38" spans="1:19" ht="16.5" thickBot="1" x14ac:dyDescent="0.3">
      <c r="A38" s="88"/>
      <c r="B38" s="27" t="s">
        <v>76</v>
      </c>
      <c r="C38" s="26">
        <v>500</v>
      </c>
      <c r="D38" s="26">
        <v>200</v>
      </c>
      <c r="E38" s="26">
        <v>10</v>
      </c>
      <c r="F38" s="26">
        <v>16</v>
      </c>
      <c r="G38" s="26">
        <v>468</v>
      </c>
      <c r="H38" s="26">
        <v>95</v>
      </c>
      <c r="I38" s="26">
        <v>20</v>
      </c>
      <c r="J38" s="26">
        <v>114.23</v>
      </c>
      <c r="K38" s="26">
        <v>89.7</v>
      </c>
      <c r="L38" s="26">
        <v>47846.06</v>
      </c>
      <c r="M38" s="26">
        <v>1914</v>
      </c>
      <c r="N38" s="26">
        <v>1087.5899999999999</v>
      </c>
      <c r="O38" s="26">
        <v>204.66</v>
      </c>
      <c r="P38" s="26">
        <v>2140.7800000000002</v>
      </c>
      <c r="Q38" s="26">
        <v>214.08</v>
      </c>
      <c r="R38" s="26">
        <v>167.48</v>
      </c>
      <c r="S38" s="26">
        <v>43.29</v>
      </c>
    </row>
    <row r="39" spans="1:19" ht="16.5" thickBot="1" x14ac:dyDescent="0.3">
      <c r="A39" s="88"/>
      <c r="B39" s="27" t="s">
        <v>77</v>
      </c>
      <c r="C39" s="26">
        <v>508</v>
      </c>
      <c r="D39" s="26">
        <v>201</v>
      </c>
      <c r="E39" s="26">
        <v>12</v>
      </c>
      <c r="F39" s="26">
        <v>20</v>
      </c>
      <c r="G39" s="26">
        <v>468</v>
      </c>
      <c r="H39" s="26">
        <v>94.5</v>
      </c>
      <c r="I39" s="26">
        <v>20</v>
      </c>
      <c r="J39" s="26">
        <v>139.99</v>
      </c>
      <c r="K39" s="26">
        <v>109.9</v>
      </c>
      <c r="L39" s="26">
        <v>59953.57</v>
      </c>
      <c r="M39" s="26">
        <v>2360</v>
      </c>
      <c r="N39" s="26">
        <v>1348.82</v>
      </c>
      <c r="O39" s="26">
        <v>206.94</v>
      </c>
      <c r="P39" s="26">
        <v>2717.84</v>
      </c>
      <c r="Q39" s="26">
        <v>270.43</v>
      </c>
      <c r="R39" s="26">
        <v>212.23</v>
      </c>
      <c r="S39" s="26">
        <v>44.06</v>
      </c>
    </row>
    <row r="40" spans="1:19" ht="16.5" thickBot="1" x14ac:dyDescent="0.3">
      <c r="A40" s="88"/>
      <c r="B40" s="27" t="s">
        <v>78</v>
      </c>
      <c r="C40" s="26">
        <v>516</v>
      </c>
      <c r="D40" s="26">
        <v>202</v>
      </c>
      <c r="E40" s="26">
        <v>15</v>
      </c>
      <c r="F40" s="26">
        <v>24</v>
      </c>
      <c r="G40" s="26">
        <v>468</v>
      </c>
      <c r="H40" s="26">
        <v>93.5</v>
      </c>
      <c r="I40" s="26">
        <v>20</v>
      </c>
      <c r="J40" s="26">
        <v>170.59</v>
      </c>
      <c r="K40" s="26">
        <v>133.9</v>
      </c>
      <c r="L40" s="26">
        <v>73345.27</v>
      </c>
      <c r="M40" s="26">
        <v>2843</v>
      </c>
      <c r="N40" s="26">
        <v>1642.68</v>
      </c>
      <c r="O40" s="26">
        <v>207.35</v>
      </c>
      <c r="P40" s="26">
        <v>3315.52</v>
      </c>
      <c r="Q40" s="26">
        <v>328.27</v>
      </c>
      <c r="R40" s="26">
        <v>260.04000000000002</v>
      </c>
      <c r="S40" s="26">
        <v>44.09</v>
      </c>
    </row>
    <row r="41" spans="1:19" ht="16.5" thickBot="1" x14ac:dyDescent="0.3">
      <c r="A41" s="88"/>
      <c r="B41" s="27" t="s">
        <v>79</v>
      </c>
      <c r="C41" s="26">
        <v>543</v>
      </c>
      <c r="D41" s="26">
        <v>220</v>
      </c>
      <c r="E41" s="26">
        <v>9.5</v>
      </c>
      <c r="F41" s="26">
        <v>13.5</v>
      </c>
      <c r="G41" s="26">
        <v>516</v>
      </c>
      <c r="H41" s="26">
        <v>105.25</v>
      </c>
      <c r="I41" s="26">
        <v>24</v>
      </c>
      <c r="J41" s="26">
        <v>113.36</v>
      </c>
      <c r="K41" s="26">
        <v>89</v>
      </c>
      <c r="L41" s="26">
        <v>55677.43</v>
      </c>
      <c r="M41" s="26">
        <v>2051</v>
      </c>
      <c r="N41" s="26">
        <v>1164.94</v>
      </c>
      <c r="O41" s="26">
        <v>221.62</v>
      </c>
      <c r="P41" s="26">
        <v>2405.52</v>
      </c>
      <c r="Q41" s="26">
        <v>218.68</v>
      </c>
      <c r="R41" s="26">
        <v>171.67</v>
      </c>
      <c r="S41" s="26">
        <v>46.06</v>
      </c>
    </row>
    <row r="42" spans="1:19" ht="16.5" thickBot="1" x14ac:dyDescent="0.3">
      <c r="A42" s="88"/>
      <c r="B42" s="27" t="s">
        <v>80</v>
      </c>
      <c r="C42" s="26">
        <v>547</v>
      </c>
      <c r="D42" s="26">
        <v>220</v>
      </c>
      <c r="E42" s="26">
        <v>10</v>
      </c>
      <c r="F42" s="26">
        <v>15.5</v>
      </c>
      <c r="G42" s="26">
        <v>516</v>
      </c>
      <c r="H42" s="26">
        <v>105</v>
      </c>
      <c r="I42" s="26">
        <v>24</v>
      </c>
      <c r="J42" s="26">
        <v>124.74</v>
      </c>
      <c r="K42" s="26">
        <v>97.9</v>
      </c>
      <c r="L42" s="26">
        <v>62784.46</v>
      </c>
      <c r="M42" s="26">
        <v>2296</v>
      </c>
      <c r="N42" s="26">
        <v>1301.49</v>
      </c>
      <c r="O42" s="26">
        <v>224.34</v>
      </c>
      <c r="P42" s="26">
        <v>2761.32</v>
      </c>
      <c r="Q42" s="26">
        <v>251.03</v>
      </c>
      <c r="R42" s="26">
        <v>196.56</v>
      </c>
      <c r="S42" s="26">
        <v>47.05</v>
      </c>
    </row>
    <row r="43" spans="1:19" ht="16.5" thickBot="1" x14ac:dyDescent="0.3">
      <c r="A43" s="88"/>
      <c r="B43" s="27" t="s">
        <v>81</v>
      </c>
      <c r="C43" s="26">
        <v>553</v>
      </c>
      <c r="D43" s="26">
        <v>221</v>
      </c>
      <c r="E43" s="26">
        <v>12</v>
      </c>
      <c r="F43" s="26">
        <v>18.5</v>
      </c>
      <c r="G43" s="26">
        <v>516</v>
      </c>
      <c r="H43" s="26">
        <v>104.5</v>
      </c>
      <c r="I43" s="26">
        <v>24</v>
      </c>
      <c r="J43" s="26">
        <v>148.63</v>
      </c>
      <c r="K43" s="26">
        <v>116.7</v>
      </c>
      <c r="L43" s="26">
        <v>75321.23</v>
      </c>
      <c r="M43" s="26">
        <v>2724</v>
      </c>
      <c r="N43" s="26">
        <v>1554.49</v>
      </c>
      <c r="O43" s="26">
        <v>225.11</v>
      </c>
      <c r="P43" s="26">
        <v>3342.9</v>
      </c>
      <c r="Q43" s="26">
        <v>302.52999999999997</v>
      </c>
      <c r="R43" s="26">
        <v>237.99</v>
      </c>
      <c r="S43" s="26">
        <v>47.42</v>
      </c>
    </row>
    <row r="44" spans="1:19" ht="16.5" thickBot="1" x14ac:dyDescent="0.3">
      <c r="A44" s="88"/>
      <c r="B44" s="27" t="s">
        <v>82</v>
      </c>
      <c r="C44" s="26">
        <v>560</v>
      </c>
      <c r="D44" s="26">
        <v>222</v>
      </c>
      <c r="E44" s="26">
        <v>14</v>
      </c>
      <c r="F44" s="26">
        <v>22</v>
      </c>
      <c r="G44" s="26">
        <v>516</v>
      </c>
      <c r="H44" s="26">
        <v>104</v>
      </c>
      <c r="I44" s="26">
        <v>24</v>
      </c>
      <c r="J44" s="26">
        <v>174.86</v>
      </c>
      <c r="K44" s="26">
        <v>137.30000000000001</v>
      </c>
      <c r="L44" s="26">
        <v>89907.11</v>
      </c>
      <c r="M44" s="26">
        <v>3211</v>
      </c>
      <c r="N44" s="26">
        <v>1842.2</v>
      </c>
      <c r="O44" s="26">
        <v>226.75</v>
      </c>
      <c r="P44" s="26">
        <v>4032.05</v>
      </c>
      <c r="Q44" s="26">
        <v>363.25</v>
      </c>
      <c r="R44" s="26">
        <v>286.76</v>
      </c>
      <c r="S44" s="26">
        <v>48.02</v>
      </c>
    </row>
    <row r="45" spans="1:19" ht="16.5" thickBot="1" x14ac:dyDescent="0.3">
      <c r="A45" s="88"/>
      <c r="B45" s="27" t="s">
        <v>83</v>
      </c>
      <c r="C45" s="26">
        <v>596</v>
      </c>
      <c r="D45" s="26">
        <v>199</v>
      </c>
      <c r="E45" s="26">
        <v>10</v>
      </c>
      <c r="F45" s="26">
        <v>15</v>
      </c>
      <c r="G45" s="26">
        <v>566</v>
      </c>
      <c r="H45" s="26">
        <v>94.5</v>
      </c>
      <c r="I45" s="26">
        <v>22</v>
      </c>
      <c r="J45" s="26">
        <v>120.45</v>
      </c>
      <c r="K45" s="26">
        <v>94.6</v>
      </c>
      <c r="L45" s="26">
        <v>68715.92</v>
      </c>
      <c r="M45" s="26">
        <v>2306</v>
      </c>
      <c r="N45" s="26">
        <v>1325.36</v>
      </c>
      <c r="O45" s="26">
        <v>238.85</v>
      </c>
      <c r="P45" s="26">
        <v>1979.64</v>
      </c>
      <c r="Q45" s="26">
        <v>198.96</v>
      </c>
      <c r="R45" s="26">
        <v>157.63999999999999</v>
      </c>
      <c r="S45" s="26">
        <v>40.54</v>
      </c>
    </row>
    <row r="46" spans="1:19" ht="16.5" thickBot="1" x14ac:dyDescent="0.3">
      <c r="A46" s="88"/>
      <c r="B46" s="27" t="s">
        <v>84</v>
      </c>
      <c r="C46" s="26">
        <v>600</v>
      </c>
      <c r="D46" s="26">
        <v>200</v>
      </c>
      <c r="E46" s="26">
        <v>11</v>
      </c>
      <c r="F46" s="26">
        <v>17</v>
      </c>
      <c r="G46" s="26">
        <v>566</v>
      </c>
      <c r="H46" s="26">
        <v>94.5</v>
      </c>
      <c r="I46" s="26">
        <v>22</v>
      </c>
      <c r="J46" s="26">
        <v>134.41</v>
      </c>
      <c r="K46" s="26">
        <v>105.5</v>
      </c>
      <c r="L46" s="26">
        <v>77632.259999999995</v>
      </c>
      <c r="M46" s="26">
        <v>2588</v>
      </c>
      <c r="N46" s="26">
        <v>1489.36</v>
      </c>
      <c r="O46" s="26">
        <v>240.32</v>
      </c>
      <c r="P46" s="26">
        <v>2278.14</v>
      </c>
      <c r="Q46" s="26">
        <v>227.81</v>
      </c>
      <c r="R46" s="26">
        <v>180.72</v>
      </c>
      <c r="S46" s="26">
        <v>41.17</v>
      </c>
    </row>
    <row r="47" spans="1:19" ht="16.5" thickBot="1" x14ac:dyDescent="0.3">
      <c r="A47" s="88"/>
      <c r="B47" s="27" t="s">
        <v>85</v>
      </c>
      <c r="C47" s="26">
        <v>604</v>
      </c>
      <c r="D47" s="26">
        <v>201</v>
      </c>
      <c r="E47" s="26">
        <v>12.5</v>
      </c>
      <c r="F47" s="26">
        <v>19</v>
      </c>
      <c r="G47" s="26">
        <v>566</v>
      </c>
      <c r="H47" s="26">
        <v>94.25</v>
      </c>
      <c r="I47" s="26">
        <v>22</v>
      </c>
      <c r="J47" s="26">
        <v>151.28</v>
      </c>
      <c r="K47" s="26">
        <v>118.8</v>
      </c>
      <c r="L47" s="26">
        <v>87472.12</v>
      </c>
      <c r="M47" s="26">
        <v>2897</v>
      </c>
      <c r="N47" s="26">
        <v>1675.38</v>
      </c>
      <c r="O47" s="26">
        <v>240.46</v>
      </c>
      <c r="P47" s="26">
        <v>2586.61</v>
      </c>
      <c r="Q47" s="26">
        <v>257.37</v>
      </c>
      <c r="R47" s="26">
        <v>205.28</v>
      </c>
      <c r="S47" s="26">
        <v>41.35</v>
      </c>
    </row>
    <row r="48" spans="1:19" ht="16.5" thickBot="1" x14ac:dyDescent="0.3">
      <c r="A48" s="88"/>
      <c r="B48" s="27" t="s">
        <v>86</v>
      </c>
      <c r="C48" s="26">
        <v>612</v>
      </c>
      <c r="D48" s="26">
        <v>202</v>
      </c>
      <c r="E48" s="26">
        <v>15</v>
      </c>
      <c r="F48" s="26">
        <v>23</v>
      </c>
      <c r="G48" s="26">
        <v>566</v>
      </c>
      <c r="H48" s="26">
        <v>93.5</v>
      </c>
      <c r="I48" s="26">
        <v>22</v>
      </c>
      <c r="J48" s="26">
        <v>181.97</v>
      </c>
      <c r="K48" s="26">
        <v>142.80000000000001</v>
      </c>
      <c r="L48" s="26">
        <v>106509.52</v>
      </c>
      <c r="M48" s="26">
        <v>3481</v>
      </c>
      <c r="N48" s="26">
        <v>2026.68</v>
      </c>
      <c r="O48" s="26">
        <v>241.93</v>
      </c>
      <c r="P48" s="26">
        <v>3182.61</v>
      </c>
      <c r="Q48" s="26">
        <v>315.11</v>
      </c>
      <c r="R48" s="26">
        <v>253.12</v>
      </c>
      <c r="S48" s="26">
        <v>41.82</v>
      </c>
    </row>
    <row r="49" spans="1:19" ht="16.5" thickBot="1" x14ac:dyDescent="0.3">
      <c r="A49" s="88"/>
      <c r="B49" s="27" t="s">
        <v>87</v>
      </c>
      <c r="C49" s="26">
        <v>691</v>
      </c>
      <c r="D49" s="26">
        <v>260</v>
      </c>
      <c r="E49" s="26">
        <v>12</v>
      </c>
      <c r="F49" s="26">
        <v>15.5</v>
      </c>
      <c r="G49" s="26">
        <v>660</v>
      </c>
      <c r="H49" s="26">
        <v>124</v>
      </c>
      <c r="I49" s="26">
        <v>24</v>
      </c>
      <c r="J49" s="26">
        <v>164.74</v>
      </c>
      <c r="K49" s="26">
        <v>129.30000000000001</v>
      </c>
      <c r="L49" s="26">
        <v>125922.22</v>
      </c>
      <c r="M49" s="26">
        <v>3645</v>
      </c>
      <c r="N49" s="26">
        <v>2094.79</v>
      </c>
      <c r="O49" s="26">
        <v>276.47000000000003</v>
      </c>
      <c r="P49" s="26">
        <v>4557.34</v>
      </c>
      <c r="Q49" s="26">
        <v>350.56</v>
      </c>
      <c r="R49" s="26">
        <v>276.64</v>
      </c>
      <c r="S49" s="26">
        <v>52.6</v>
      </c>
    </row>
    <row r="50" spans="1:19" ht="16.5" thickBot="1" x14ac:dyDescent="0.3">
      <c r="A50" s="88"/>
      <c r="B50" s="27" t="s">
        <v>88</v>
      </c>
      <c r="C50" s="26">
        <v>697</v>
      </c>
      <c r="D50" s="26">
        <v>260</v>
      </c>
      <c r="E50" s="26">
        <v>13</v>
      </c>
      <c r="F50" s="26">
        <v>18.5</v>
      </c>
      <c r="G50" s="26">
        <v>660</v>
      </c>
      <c r="H50" s="26">
        <v>123.5</v>
      </c>
      <c r="I50" s="26">
        <v>24</v>
      </c>
      <c r="J50" s="26">
        <v>186.94</v>
      </c>
      <c r="K50" s="26">
        <v>146.69999999999999</v>
      </c>
      <c r="L50" s="26">
        <v>147101.94</v>
      </c>
      <c r="M50" s="26">
        <v>4221</v>
      </c>
      <c r="N50" s="26">
        <v>2419.9</v>
      </c>
      <c r="O50" s="26">
        <v>280.51</v>
      </c>
      <c r="P50" s="26">
        <v>5439.29</v>
      </c>
      <c r="Q50" s="26">
        <v>418.41</v>
      </c>
      <c r="R50" s="26">
        <v>329.52</v>
      </c>
      <c r="S50" s="26">
        <v>53.94</v>
      </c>
    </row>
    <row r="51" spans="1:19" ht="16.5" thickBot="1" x14ac:dyDescent="0.3">
      <c r="A51" s="88"/>
      <c r="B51" s="27" t="s">
        <v>89</v>
      </c>
      <c r="C51" s="26">
        <v>702</v>
      </c>
      <c r="D51" s="26">
        <v>261</v>
      </c>
      <c r="E51" s="26">
        <v>14.5</v>
      </c>
      <c r="F51" s="26">
        <v>21</v>
      </c>
      <c r="G51" s="26">
        <v>660</v>
      </c>
      <c r="H51" s="26">
        <v>123.25</v>
      </c>
      <c r="I51" s="26">
        <v>24</v>
      </c>
      <c r="J51" s="26">
        <v>210.26</v>
      </c>
      <c r="K51" s="26">
        <v>165.1</v>
      </c>
      <c r="L51" s="26">
        <v>167085.07</v>
      </c>
      <c r="M51" s="26">
        <v>4761</v>
      </c>
      <c r="N51" s="26">
        <v>2736.06</v>
      </c>
      <c r="O51" s="26">
        <v>281.89</v>
      </c>
      <c r="P51" s="26">
        <v>6248.47</v>
      </c>
      <c r="Q51" s="26">
        <v>478.81</v>
      </c>
      <c r="R51" s="26">
        <v>378.1</v>
      </c>
      <c r="S51" s="26">
        <v>54.51</v>
      </c>
    </row>
    <row r="52" spans="1:19" ht="16.5" thickBot="1" x14ac:dyDescent="0.3">
      <c r="A52" s="89"/>
      <c r="B52" s="27" t="s">
        <v>90</v>
      </c>
      <c r="C52" s="26">
        <v>710</v>
      </c>
      <c r="D52" s="26">
        <v>262</v>
      </c>
      <c r="E52" s="26">
        <v>17</v>
      </c>
      <c r="F52" s="26">
        <v>25</v>
      </c>
      <c r="G52" s="26">
        <v>660</v>
      </c>
      <c r="H52" s="26">
        <v>122.5</v>
      </c>
      <c r="I52" s="26">
        <v>24</v>
      </c>
      <c r="J52" s="26">
        <v>248.14</v>
      </c>
      <c r="K52" s="26">
        <v>194.8</v>
      </c>
      <c r="L52" s="26">
        <v>199680</v>
      </c>
      <c r="M52" s="26">
        <v>5625</v>
      </c>
      <c r="N52" s="26">
        <v>3249.28</v>
      </c>
      <c r="O52" s="26">
        <v>283.67</v>
      </c>
      <c r="P52" s="26">
        <v>7531.14</v>
      </c>
      <c r="Q52" s="26">
        <v>574.9</v>
      </c>
      <c r="R52" s="26">
        <v>456.29</v>
      </c>
      <c r="S52" s="26">
        <v>55.09</v>
      </c>
    </row>
    <row r="53" spans="1:19" ht="16.5" thickBot="1" x14ac:dyDescent="0.3">
      <c r="A53" s="87" t="s">
        <v>91</v>
      </c>
      <c r="B53" s="27" t="s">
        <v>92</v>
      </c>
      <c r="C53" s="26">
        <v>190</v>
      </c>
      <c r="D53" s="26">
        <v>149</v>
      </c>
      <c r="E53" s="26">
        <v>5</v>
      </c>
      <c r="F53" s="26">
        <v>7</v>
      </c>
      <c r="G53" s="26">
        <v>176</v>
      </c>
      <c r="H53" s="26">
        <v>72</v>
      </c>
      <c r="I53" s="26">
        <v>13</v>
      </c>
      <c r="J53" s="26">
        <v>31.11</v>
      </c>
      <c r="K53" s="26">
        <v>24.4</v>
      </c>
      <c r="L53" s="26">
        <v>2079.6</v>
      </c>
      <c r="M53" s="26">
        <v>218.9</v>
      </c>
      <c r="N53" s="26">
        <v>120.97</v>
      </c>
      <c r="O53" s="26">
        <v>81.760000000000005</v>
      </c>
      <c r="P53" s="26">
        <v>386.62</v>
      </c>
      <c r="Q53" s="26">
        <v>51.9</v>
      </c>
      <c r="R53" s="26">
        <v>39.79</v>
      </c>
      <c r="S53" s="26">
        <v>35.25</v>
      </c>
    </row>
    <row r="54" spans="1:19" ht="16.5" thickBot="1" x14ac:dyDescent="0.3">
      <c r="A54" s="88"/>
      <c r="B54" s="27" t="s">
        <v>93</v>
      </c>
      <c r="C54" s="26">
        <v>194</v>
      </c>
      <c r="D54" s="26">
        <v>150</v>
      </c>
      <c r="E54" s="26">
        <v>6</v>
      </c>
      <c r="F54" s="26">
        <v>9</v>
      </c>
      <c r="G54" s="26">
        <v>176</v>
      </c>
      <c r="H54" s="26">
        <v>72</v>
      </c>
      <c r="I54" s="26">
        <v>13</v>
      </c>
      <c r="J54" s="26">
        <v>39.01</v>
      </c>
      <c r="K54" s="26">
        <v>30.6</v>
      </c>
      <c r="L54" s="26">
        <v>2689.74</v>
      </c>
      <c r="M54" s="26">
        <v>277.3</v>
      </c>
      <c r="N54" s="26">
        <v>154.28</v>
      </c>
      <c r="O54" s="26">
        <v>83.04</v>
      </c>
      <c r="P54" s="26">
        <v>507.16</v>
      </c>
      <c r="Q54" s="26">
        <v>67.62</v>
      </c>
      <c r="R54" s="26">
        <v>51.85</v>
      </c>
      <c r="S54" s="26">
        <v>36.06</v>
      </c>
    </row>
    <row r="55" spans="1:19" ht="16.5" thickBot="1" x14ac:dyDescent="0.3">
      <c r="A55" s="88"/>
      <c r="B55" s="27" t="s">
        <v>94</v>
      </c>
      <c r="C55" s="26">
        <v>199</v>
      </c>
      <c r="D55" s="26">
        <v>151</v>
      </c>
      <c r="E55" s="26">
        <v>7.5</v>
      </c>
      <c r="F55" s="26">
        <v>11.5</v>
      </c>
      <c r="G55" s="26">
        <v>176</v>
      </c>
      <c r="H55" s="26">
        <v>71.75</v>
      </c>
      <c r="I55" s="26">
        <v>13</v>
      </c>
      <c r="J55" s="26">
        <v>49.38</v>
      </c>
      <c r="K55" s="26">
        <v>38.799999999999997</v>
      </c>
      <c r="L55" s="26">
        <v>3502.14</v>
      </c>
      <c r="M55" s="26">
        <v>352</v>
      </c>
      <c r="N55" s="26">
        <v>198.01</v>
      </c>
      <c r="O55" s="26">
        <v>84.21</v>
      </c>
      <c r="P55" s="26">
        <v>661.24</v>
      </c>
      <c r="Q55" s="26">
        <v>87.58</v>
      </c>
      <c r="R55" s="26">
        <v>67.27</v>
      </c>
      <c r="S55" s="26">
        <v>36.590000000000003</v>
      </c>
    </row>
    <row r="56" spans="1:19" ht="16.5" thickBot="1" x14ac:dyDescent="0.3">
      <c r="A56" s="88"/>
      <c r="B56" s="27" t="s">
        <v>95</v>
      </c>
      <c r="C56" s="26">
        <v>204</v>
      </c>
      <c r="D56" s="26">
        <v>152</v>
      </c>
      <c r="E56" s="26">
        <v>9</v>
      </c>
      <c r="F56" s="26">
        <v>14</v>
      </c>
      <c r="G56" s="26">
        <v>176</v>
      </c>
      <c r="H56" s="26">
        <v>71.5</v>
      </c>
      <c r="I56" s="26">
        <v>13</v>
      </c>
      <c r="J56" s="26">
        <v>59.85</v>
      </c>
      <c r="K56" s="26">
        <v>47</v>
      </c>
      <c r="L56" s="26">
        <v>4362.01</v>
      </c>
      <c r="M56" s="26">
        <v>427.7</v>
      </c>
      <c r="N56" s="26">
        <v>243.18</v>
      </c>
      <c r="O56" s="26">
        <v>85.37</v>
      </c>
      <c r="P56" s="26">
        <v>821.37</v>
      </c>
      <c r="Q56" s="26">
        <v>108.08</v>
      </c>
      <c r="R56" s="26">
        <v>83.18</v>
      </c>
      <c r="S56" s="26">
        <v>37.049999999999997</v>
      </c>
    </row>
    <row r="57" spans="1:19" ht="16.5" thickBot="1" x14ac:dyDescent="0.3">
      <c r="A57" s="88"/>
      <c r="B57" s="27" t="s">
        <v>96</v>
      </c>
      <c r="C57" s="26">
        <v>211</v>
      </c>
      <c r="D57" s="26">
        <v>155</v>
      </c>
      <c r="E57" s="26">
        <v>11</v>
      </c>
      <c r="F57" s="26">
        <v>17.5</v>
      </c>
      <c r="G57" s="26">
        <v>176</v>
      </c>
      <c r="H57" s="26">
        <v>72</v>
      </c>
      <c r="I57" s="26">
        <v>13</v>
      </c>
      <c r="J57" s="26">
        <v>75.06</v>
      </c>
      <c r="K57" s="26">
        <v>58.9</v>
      </c>
      <c r="L57" s="26">
        <v>5696.83</v>
      </c>
      <c r="M57" s="26">
        <v>540</v>
      </c>
      <c r="N57" s="26">
        <v>311.2</v>
      </c>
      <c r="O57" s="26">
        <v>87.12</v>
      </c>
      <c r="P57" s="26">
        <v>1089.19</v>
      </c>
      <c r="Q57" s="26">
        <v>140.54</v>
      </c>
      <c r="R57" s="26">
        <v>108.38</v>
      </c>
      <c r="S57" s="26">
        <v>38.090000000000003</v>
      </c>
    </row>
    <row r="58" spans="1:19" ht="16.5" thickBot="1" x14ac:dyDescent="0.3">
      <c r="A58" s="88"/>
      <c r="B58" s="27" t="s">
        <v>97</v>
      </c>
      <c r="C58" s="26">
        <v>218</v>
      </c>
      <c r="D58" s="26">
        <v>157</v>
      </c>
      <c r="E58" s="26">
        <v>13</v>
      </c>
      <c r="F58" s="26">
        <v>21</v>
      </c>
      <c r="G58" s="26">
        <v>176</v>
      </c>
      <c r="H58" s="26">
        <v>72</v>
      </c>
      <c r="I58" s="26">
        <v>13</v>
      </c>
      <c r="J58" s="26">
        <v>90.27</v>
      </c>
      <c r="K58" s="26">
        <v>70.900000000000006</v>
      </c>
      <c r="L58" s="26">
        <v>7117.64</v>
      </c>
      <c r="M58" s="26">
        <v>653</v>
      </c>
      <c r="N58" s="26">
        <v>381.26</v>
      </c>
      <c r="O58" s="26">
        <v>88.8</v>
      </c>
      <c r="P58" s="26">
        <v>1359.05</v>
      </c>
      <c r="Q58" s="26">
        <v>173.13</v>
      </c>
      <c r="R58" s="26">
        <v>133.81</v>
      </c>
      <c r="S58" s="26">
        <v>38.799999999999997</v>
      </c>
    </row>
    <row r="59" spans="1:19" ht="16.5" thickBot="1" x14ac:dyDescent="0.3">
      <c r="A59" s="88"/>
      <c r="B59" s="27" t="s">
        <v>98</v>
      </c>
      <c r="C59" s="26">
        <v>228</v>
      </c>
      <c r="D59" s="26">
        <v>159</v>
      </c>
      <c r="E59" s="26">
        <v>16</v>
      </c>
      <c r="F59" s="26">
        <v>26</v>
      </c>
      <c r="G59" s="26">
        <v>176</v>
      </c>
      <c r="H59" s="26">
        <v>71.5</v>
      </c>
      <c r="I59" s="26">
        <v>13</v>
      </c>
      <c r="J59" s="26">
        <v>112.29</v>
      </c>
      <c r="K59" s="26">
        <v>88.1</v>
      </c>
      <c r="L59" s="26">
        <v>9312.7999999999993</v>
      </c>
      <c r="M59" s="26">
        <v>816.9</v>
      </c>
      <c r="N59" s="26">
        <v>485.66</v>
      </c>
      <c r="O59" s="26">
        <v>91.07</v>
      </c>
      <c r="P59" s="26">
        <v>1749.68</v>
      </c>
      <c r="Q59" s="26">
        <v>220.09</v>
      </c>
      <c r="R59" s="26">
        <v>170.75</v>
      </c>
      <c r="S59" s="26">
        <v>39.47</v>
      </c>
    </row>
    <row r="60" spans="1:19" ht="16.5" thickBot="1" x14ac:dyDescent="0.3">
      <c r="A60" s="88"/>
      <c r="B60" s="27" t="s">
        <v>99</v>
      </c>
      <c r="C60" s="26">
        <v>240</v>
      </c>
      <c r="D60" s="26">
        <v>174</v>
      </c>
      <c r="E60" s="26">
        <v>6</v>
      </c>
      <c r="F60" s="26">
        <v>9</v>
      </c>
      <c r="G60" s="26">
        <v>222</v>
      </c>
      <c r="H60" s="26">
        <v>84</v>
      </c>
      <c r="I60" s="26">
        <v>16</v>
      </c>
      <c r="J60" s="26">
        <v>46.84</v>
      </c>
      <c r="K60" s="26">
        <v>36.799999999999997</v>
      </c>
      <c r="L60" s="26">
        <v>4981.13</v>
      </c>
      <c r="M60" s="26">
        <v>415.1</v>
      </c>
      <c r="N60" s="26">
        <v>229.64</v>
      </c>
      <c r="O60" s="26">
        <v>103.13</v>
      </c>
      <c r="P60" s="26">
        <v>791.75</v>
      </c>
      <c r="Q60" s="26">
        <v>91.01</v>
      </c>
      <c r="R60" s="26">
        <v>69.84</v>
      </c>
      <c r="S60" s="26">
        <v>41.11</v>
      </c>
    </row>
    <row r="61" spans="1:19" ht="16.5" thickBot="1" x14ac:dyDescent="0.3">
      <c r="A61" s="88"/>
      <c r="B61" s="27" t="s">
        <v>100</v>
      </c>
      <c r="C61" s="26">
        <v>244</v>
      </c>
      <c r="D61" s="26">
        <v>175</v>
      </c>
      <c r="E61" s="26">
        <v>7</v>
      </c>
      <c r="F61" s="26">
        <v>11</v>
      </c>
      <c r="G61" s="26">
        <v>222</v>
      </c>
      <c r="H61" s="26">
        <v>84</v>
      </c>
      <c r="I61" s="26">
        <v>16</v>
      </c>
      <c r="J61" s="26">
        <v>56.24</v>
      </c>
      <c r="K61" s="26">
        <v>44.1</v>
      </c>
      <c r="L61" s="26">
        <v>6121.23</v>
      </c>
      <c r="M61" s="26">
        <v>501.8</v>
      </c>
      <c r="N61" s="26">
        <v>279.19</v>
      </c>
      <c r="O61" s="26">
        <v>104.33</v>
      </c>
      <c r="P61" s="26">
        <v>984.48</v>
      </c>
      <c r="Q61" s="26">
        <v>112.51</v>
      </c>
      <c r="R61" s="26">
        <v>86.36</v>
      </c>
      <c r="S61" s="26">
        <v>41.84</v>
      </c>
    </row>
    <row r="62" spans="1:19" ht="16.5" thickBot="1" x14ac:dyDescent="0.3">
      <c r="A62" s="88"/>
      <c r="B62" s="27" t="s">
        <v>101</v>
      </c>
      <c r="C62" s="26">
        <v>249</v>
      </c>
      <c r="D62" s="26">
        <v>176</v>
      </c>
      <c r="E62" s="26">
        <v>8.5</v>
      </c>
      <c r="F62" s="26">
        <v>13.5</v>
      </c>
      <c r="G62" s="26">
        <v>222</v>
      </c>
      <c r="H62" s="26">
        <v>83.75</v>
      </c>
      <c r="I62" s="26">
        <v>16</v>
      </c>
      <c r="J62" s="26">
        <v>68.59</v>
      </c>
      <c r="K62" s="26">
        <v>53.8</v>
      </c>
      <c r="L62" s="26">
        <v>7624.69</v>
      </c>
      <c r="M62" s="26">
        <v>612.4</v>
      </c>
      <c r="N62" s="26">
        <v>343.94</v>
      </c>
      <c r="O62" s="26">
        <v>105.44</v>
      </c>
      <c r="P62" s="26">
        <v>1229.33</v>
      </c>
      <c r="Q62" s="26">
        <v>139.69999999999999</v>
      </c>
      <c r="R62" s="26">
        <v>107.41</v>
      </c>
      <c r="S62" s="26">
        <v>42.34</v>
      </c>
    </row>
    <row r="63" spans="1:19" ht="16.5" thickBot="1" x14ac:dyDescent="0.3">
      <c r="A63" s="88"/>
      <c r="B63" s="27" t="s">
        <v>102</v>
      </c>
      <c r="C63" s="26">
        <v>256</v>
      </c>
      <c r="D63" s="26">
        <v>177</v>
      </c>
      <c r="E63" s="26">
        <v>10.5</v>
      </c>
      <c r="F63" s="26">
        <v>17</v>
      </c>
      <c r="G63" s="26">
        <v>222</v>
      </c>
      <c r="H63" s="26">
        <v>83.25</v>
      </c>
      <c r="I63" s="26">
        <v>16</v>
      </c>
      <c r="J63" s="26">
        <v>85.69</v>
      </c>
      <c r="K63" s="26">
        <v>67.3</v>
      </c>
      <c r="L63" s="26">
        <v>9819.49</v>
      </c>
      <c r="M63" s="26">
        <v>767.2</v>
      </c>
      <c r="N63" s="26">
        <v>436.06</v>
      </c>
      <c r="O63" s="26">
        <v>107.05</v>
      </c>
      <c r="P63" s="26">
        <v>1575.2</v>
      </c>
      <c r="Q63" s="26">
        <v>177.99</v>
      </c>
      <c r="R63" s="26">
        <v>137.18</v>
      </c>
      <c r="S63" s="26">
        <v>42.88</v>
      </c>
    </row>
    <row r="64" spans="1:19" ht="16.5" thickBot="1" x14ac:dyDescent="0.3">
      <c r="A64" s="88"/>
      <c r="B64" s="27" t="s">
        <v>103</v>
      </c>
      <c r="C64" s="26">
        <v>264</v>
      </c>
      <c r="D64" s="26">
        <v>182</v>
      </c>
      <c r="E64" s="26">
        <v>13</v>
      </c>
      <c r="F64" s="26">
        <v>21</v>
      </c>
      <c r="G64" s="26">
        <v>222</v>
      </c>
      <c r="H64" s="26">
        <v>84.5</v>
      </c>
      <c r="I64" s="26">
        <v>16</v>
      </c>
      <c r="J64" s="26">
        <v>107.5</v>
      </c>
      <c r="K64" s="26">
        <v>84.4</v>
      </c>
      <c r="L64" s="26">
        <v>12751.44</v>
      </c>
      <c r="M64" s="26">
        <v>966</v>
      </c>
      <c r="N64" s="26">
        <v>556.26</v>
      </c>
      <c r="O64" s="26">
        <v>108.91</v>
      </c>
      <c r="P64" s="26">
        <v>2116.4899999999998</v>
      </c>
      <c r="Q64" s="26">
        <v>232.58</v>
      </c>
      <c r="R64" s="26">
        <v>179.7</v>
      </c>
      <c r="S64" s="26">
        <v>44.37</v>
      </c>
    </row>
    <row r="65" spans="1:19" ht="16.5" thickBot="1" x14ac:dyDescent="0.3">
      <c r="A65" s="88"/>
      <c r="B65" s="27" t="s">
        <v>104</v>
      </c>
      <c r="C65" s="26">
        <v>274</v>
      </c>
      <c r="D65" s="26">
        <v>184</v>
      </c>
      <c r="E65" s="26">
        <v>16</v>
      </c>
      <c r="F65" s="26">
        <v>26</v>
      </c>
      <c r="G65" s="26">
        <v>222</v>
      </c>
      <c r="H65" s="26">
        <v>84</v>
      </c>
      <c r="I65" s="26">
        <v>16</v>
      </c>
      <c r="J65" s="26">
        <v>133.4</v>
      </c>
      <c r="K65" s="26">
        <v>104.7</v>
      </c>
      <c r="L65" s="26">
        <v>16478.259999999998</v>
      </c>
      <c r="M65" s="26">
        <v>1202.8</v>
      </c>
      <c r="N65" s="26">
        <v>703.59</v>
      </c>
      <c r="O65" s="26">
        <v>111.14</v>
      </c>
      <c r="P65" s="26">
        <v>2710.17</v>
      </c>
      <c r="Q65" s="26">
        <v>294.58</v>
      </c>
      <c r="R65" s="26">
        <v>228.44</v>
      </c>
      <c r="S65" s="26">
        <v>45.07</v>
      </c>
    </row>
    <row r="66" spans="1:19" ht="16.5" thickBot="1" x14ac:dyDescent="0.3">
      <c r="A66" s="88"/>
      <c r="B66" s="27" t="s">
        <v>105</v>
      </c>
      <c r="C66" s="26">
        <v>286</v>
      </c>
      <c r="D66" s="26">
        <v>186</v>
      </c>
      <c r="E66" s="26">
        <v>19</v>
      </c>
      <c r="F66" s="26">
        <v>32</v>
      </c>
      <c r="G66" s="26">
        <v>222</v>
      </c>
      <c r="H66" s="26">
        <v>83.5</v>
      </c>
      <c r="I66" s="26">
        <v>16</v>
      </c>
      <c r="J66" s="26">
        <v>163.41999999999999</v>
      </c>
      <c r="K66" s="26">
        <v>128.30000000000001</v>
      </c>
      <c r="L66" s="26">
        <v>21287.68</v>
      </c>
      <c r="M66" s="26">
        <v>1488.7</v>
      </c>
      <c r="N66" s="26">
        <v>884.76</v>
      </c>
      <c r="O66" s="26">
        <v>114.13</v>
      </c>
      <c r="P66" s="26">
        <v>3448.56</v>
      </c>
      <c r="Q66" s="26">
        <v>370.81</v>
      </c>
      <c r="R66" s="26">
        <v>288.22000000000003</v>
      </c>
      <c r="S66" s="26">
        <v>45.94</v>
      </c>
    </row>
    <row r="67" spans="1:19" ht="16.5" thickBot="1" x14ac:dyDescent="0.3">
      <c r="A67" s="88"/>
      <c r="B67" s="27" t="s">
        <v>106</v>
      </c>
      <c r="C67" s="26">
        <v>290</v>
      </c>
      <c r="D67" s="26">
        <v>199</v>
      </c>
      <c r="E67" s="26">
        <v>7</v>
      </c>
      <c r="F67" s="26">
        <v>10</v>
      </c>
      <c r="G67" s="26">
        <v>270</v>
      </c>
      <c r="H67" s="26">
        <v>96</v>
      </c>
      <c r="I67" s="26">
        <v>18</v>
      </c>
      <c r="J67" s="26">
        <v>61.48</v>
      </c>
      <c r="K67" s="26">
        <v>48.3</v>
      </c>
      <c r="L67" s="26">
        <v>9429.75</v>
      </c>
      <c r="M67" s="26">
        <v>650.4</v>
      </c>
      <c r="N67" s="26">
        <v>360.6</v>
      </c>
      <c r="O67" s="26">
        <v>123.85</v>
      </c>
      <c r="P67" s="26">
        <v>1316.09</v>
      </c>
      <c r="Q67" s="26">
        <v>132.27000000000001</v>
      </c>
      <c r="R67" s="26">
        <v>101.7</v>
      </c>
      <c r="S67" s="26">
        <v>46.27</v>
      </c>
    </row>
    <row r="68" spans="1:19" ht="16.5" thickBot="1" x14ac:dyDescent="0.3">
      <c r="A68" s="88"/>
      <c r="B68" s="27" t="s">
        <v>107</v>
      </c>
      <c r="C68" s="26">
        <v>294</v>
      </c>
      <c r="D68" s="26">
        <v>200</v>
      </c>
      <c r="E68" s="26">
        <v>8</v>
      </c>
      <c r="F68" s="26">
        <v>12</v>
      </c>
      <c r="G68" s="26">
        <v>270</v>
      </c>
      <c r="H68" s="26">
        <v>96</v>
      </c>
      <c r="I68" s="26">
        <v>18</v>
      </c>
      <c r="J68" s="26">
        <v>72.38</v>
      </c>
      <c r="K68" s="26">
        <v>56.8</v>
      </c>
      <c r="L68" s="26">
        <v>11338.3</v>
      </c>
      <c r="M68" s="26">
        <v>771.4</v>
      </c>
      <c r="N68" s="26">
        <v>429.51</v>
      </c>
      <c r="O68" s="26">
        <v>125.16</v>
      </c>
      <c r="P68" s="26">
        <v>1603.25</v>
      </c>
      <c r="Q68" s="26">
        <v>160.33000000000001</v>
      </c>
      <c r="R68" s="26">
        <v>123.28</v>
      </c>
      <c r="S68" s="26">
        <v>47.06</v>
      </c>
    </row>
    <row r="69" spans="1:19" ht="16.5" thickBot="1" x14ac:dyDescent="0.3">
      <c r="A69" s="88"/>
      <c r="B69" s="27" t="s">
        <v>108</v>
      </c>
      <c r="C69" s="26">
        <v>300</v>
      </c>
      <c r="D69" s="26">
        <v>201</v>
      </c>
      <c r="E69" s="26">
        <v>9</v>
      </c>
      <c r="F69" s="26">
        <v>15</v>
      </c>
      <c r="G69" s="26">
        <v>270</v>
      </c>
      <c r="H69" s="26">
        <v>96</v>
      </c>
      <c r="I69" s="26">
        <v>18</v>
      </c>
      <c r="J69" s="26">
        <v>87.38</v>
      </c>
      <c r="K69" s="26">
        <v>68.599999999999994</v>
      </c>
      <c r="L69" s="26">
        <v>14209.66</v>
      </c>
      <c r="M69" s="26">
        <v>947.4</v>
      </c>
      <c r="N69" s="26">
        <v>529.86</v>
      </c>
      <c r="O69" s="26">
        <v>127.52</v>
      </c>
      <c r="P69" s="26">
        <v>2034.12</v>
      </c>
      <c r="Q69" s="26">
        <v>202.4</v>
      </c>
      <c r="R69" s="26">
        <v>155.41999999999999</v>
      </c>
      <c r="S69" s="26">
        <v>48.25</v>
      </c>
    </row>
    <row r="70" spans="1:19" ht="16.5" thickBot="1" x14ac:dyDescent="0.3">
      <c r="A70" s="88"/>
      <c r="B70" s="27" t="s">
        <v>109</v>
      </c>
      <c r="C70" s="26">
        <v>306</v>
      </c>
      <c r="D70" s="26">
        <v>203</v>
      </c>
      <c r="E70" s="26">
        <v>11</v>
      </c>
      <c r="F70" s="26">
        <v>18</v>
      </c>
      <c r="G70" s="26">
        <v>270</v>
      </c>
      <c r="H70" s="26">
        <v>96</v>
      </c>
      <c r="I70" s="26">
        <v>18</v>
      </c>
      <c r="J70" s="26">
        <v>105.56</v>
      </c>
      <c r="K70" s="26">
        <v>82.9</v>
      </c>
      <c r="L70" s="26">
        <v>17455.330000000002</v>
      </c>
      <c r="M70" s="26">
        <v>1140.9000000000001</v>
      </c>
      <c r="N70" s="26">
        <v>644.63</v>
      </c>
      <c r="O70" s="26">
        <v>128.59</v>
      </c>
      <c r="P70" s="26">
        <v>2515.4499999999998</v>
      </c>
      <c r="Q70" s="26">
        <v>247.83</v>
      </c>
      <c r="R70" s="26">
        <v>190.85</v>
      </c>
      <c r="S70" s="26">
        <v>48.82</v>
      </c>
    </row>
    <row r="71" spans="1:19" ht="16.5" thickBot="1" x14ac:dyDescent="0.3">
      <c r="A71" s="88"/>
      <c r="B71" s="27" t="s">
        <v>110</v>
      </c>
      <c r="C71" s="26">
        <v>314</v>
      </c>
      <c r="D71" s="26">
        <v>206</v>
      </c>
      <c r="E71" s="26">
        <v>13</v>
      </c>
      <c r="F71" s="26">
        <v>22</v>
      </c>
      <c r="G71" s="26">
        <v>270</v>
      </c>
      <c r="H71" s="26">
        <v>96.5</v>
      </c>
      <c r="I71" s="26">
        <v>18</v>
      </c>
      <c r="J71" s="26">
        <v>128.52000000000001</v>
      </c>
      <c r="K71" s="26">
        <v>100.9</v>
      </c>
      <c r="L71" s="26">
        <v>21967.16</v>
      </c>
      <c r="M71" s="26">
        <v>1399.2</v>
      </c>
      <c r="N71" s="26">
        <v>798.35</v>
      </c>
      <c r="O71" s="26">
        <v>130.74</v>
      </c>
      <c r="P71" s="26">
        <v>3213.67</v>
      </c>
      <c r="Q71" s="26">
        <v>312.01</v>
      </c>
      <c r="R71" s="26">
        <v>240.56</v>
      </c>
      <c r="S71" s="26">
        <v>50</v>
      </c>
    </row>
    <row r="72" spans="1:19" ht="16.5" thickBot="1" x14ac:dyDescent="0.3">
      <c r="A72" s="88"/>
      <c r="B72" s="27" t="s">
        <v>111</v>
      </c>
      <c r="C72" s="26">
        <v>326</v>
      </c>
      <c r="D72" s="26">
        <v>208</v>
      </c>
      <c r="E72" s="26">
        <v>16</v>
      </c>
      <c r="F72" s="26">
        <v>28</v>
      </c>
      <c r="G72" s="26">
        <v>270</v>
      </c>
      <c r="H72" s="26">
        <v>96</v>
      </c>
      <c r="I72" s="26">
        <v>18</v>
      </c>
      <c r="J72" s="26">
        <v>162.46</v>
      </c>
      <c r="K72" s="26">
        <v>127.5</v>
      </c>
      <c r="L72" s="26">
        <v>29037.68</v>
      </c>
      <c r="M72" s="26">
        <v>1781.5</v>
      </c>
      <c r="N72" s="26">
        <v>1031.79</v>
      </c>
      <c r="O72" s="26">
        <v>133.69</v>
      </c>
      <c r="P72" s="26">
        <v>4213.04</v>
      </c>
      <c r="Q72" s="26">
        <v>405.1</v>
      </c>
      <c r="R72" s="26">
        <v>313.16000000000003</v>
      </c>
      <c r="S72" s="26">
        <v>50.92</v>
      </c>
    </row>
    <row r="73" spans="1:19" ht="16.5" thickBot="1" x14ac:dyDescent="0.3">
      <c r="A73" s="88"/>
      <c r="B73" s="27" t="s">
        <v>112</v>
      </c>
      <c r="C73" s="26">
        <v>342</v>
      </c>
      <c r="D73" s="26">
        <v>210</v>
      </c>
      <c r="E73" s="26">
        <v>20</v>
      </c>
      <c r="F73" s="26">
        <v>36</v>
      </c>
      <c r="G73" s="26">
        <v>270</v>
      </c>
      <c r="H73" s="26">
        <v>95</v>
      </c>
      <c r="I73" s="26">
        <v>18</v>
      </c>
      <c r="J73" s="26">
        <v>207.98</v>
      </c>
      <c r="K73" s="26">
        <v>163.30000000000001</v>
      </c>
      <c r="L73" s="26">
        <v>39315.660000000003</v>
      </c>
      <c r="M73" s="26">
        <v>2299.1999999999998</v>
      </c>
      <c r="N73" s="26">
        <v>1357.14</v>
      </c>
      <c r="O73" s="26">
        <v>137.49</v>
      </c>
      <c r="P73" s="26">
        <v>5580.38</v>
      </c>
      <c r="Q73" s="26">
        <v>531.46</v>
      </c>
      <c r="R73" s="26">
        <v>412.35</v>
      </c>
      <c r="S73" s="26">
        <v>51.8</v>
      </c>
    </row>
    <row r="74" spans="1:19" ht="16.5" thickBot="1" x14ac:dyDescent="0.3">
      <c r="A74" s="88"/>
      <c r="B74" s="27" t="s">
        <v>113</v>
      </c>
      <c r="C74" s="26">
        <v>334</v>
      </c>
      <c r="D74" s="26">
        <v>249</v>
      </c>
      <c r="E74" s="26">
        <v>8</v>
      </c>
      <c r="F74" s="26">
        <v>11</v>
      </c>
      <c r="G74" s="26">
        <v>312</v>
      </c>
      <c r="H74" s="26">
        <v>120.5</v>
      </c>
      <c r="I74" s="26">
        <v>20</v>
      </c>
      <c r="J74" s="26">
        <v>83.17</v>
      </c>
      <c r="K74" s="26">
        <v>65.3</v>
      </c>
      <c r="L74" s="26">
        <v>17107.05</v>
      </c>
      <c r="M74" s="26">
        <v>1024.4000000000001</v>
      </c>
      <c r="N74" s="26">
        <v>565.71</v>
      </c>
      <c r="O74" s="26">
        <v>143.41999999999999</v>
      </c>
      <c r="P74" s="26">
        <v>2834.61</v>
      </c>
      <c r="Q74" s="26">
        <v>227.68</v>
      </c>
      <c r="R74" s="26">
        <v>174.45</v>
      </c>
      <c r="S74" s="26">
        <v>58.38</v>
      </c>
    </row>
    <row r="75" spans="1:19" ht="16.5" thickBot="1" x14ac:dyDescent="0.3">
      <c r="A75" s="88"/>
      <c r="B75" s="27" t="s">
        <v>114</v>
      </c>
      <c r="C75" s="26">
        <v>340</v>
      </c>
      <c r="D75" s="26">
        <v>250</v>
      </c>
      <c r="E75" s="26">
        <v>9</v>
      </c>
      <c r="F75" s="26">
        <v>14</v>
      </c>
      <c r="G75" s="26">
        <v>312</v>
      </c>
      <c r="H75" s="26">
        <v>120.5</v>
      </c>
      <c r="I75" s="26">
        <v>20</v>
      </c>
      <c r="J75" s="26">
        <v>101.51</v>
      </c>
      <c r="K75" s="26">
        <v>79.7</v>
      </c>
      <c r="L75" s="26">
        <v>21676.5</v>
      </c>
      <c r="M75" s="26">
        <v>1275.2</v>
      </c>
      <c r="N75" s="26">
        <v>706.03</v>
      </c>
      <c r="O75" s="26">
        <v>146.13</v>
      </c>
      <c r="P75" s="26">
        <v>3650.96</v>
      </c>
      <c r="Q75" s="26">
        <v>292.08</v>
      </c>
      <c r="R75" s="26">
        <v>223.45</v>
      </c>
      <c r="S75" s="26">
        <v>59.97</v>
      </c>
    </row>
    <row r="76" spans="1:19" ht="16.5" thickBot="1" x14ac:dyDescent="0.3">
      <c r="A76" s="88"/>
      <c r="B76" s="27" t="s">
        <v>115</v>
      </c>
      <c r="C76" s="26">
        <v>347</v>
      </c>
      <c r="D76" s="26">
        <v>252</v>
      </c>
      <c r="E76" s="26">
        <v>11</v>
      </c>
      <c r="F76" s="26">
        <v>17.5</v>
      </c>
      <c r="G76" s="26">
        <v>312</v>
      </c>
      <c r="H76" s="26">
        <v>120.5</v>
      </c>
      <c r="I76" s="26">
        <v>20</v>
      </c>
      <c r="J76" s="26">
        <v>125.95</v>
      </c>
      <c r="K76" s="26">
        <v>98.9</v>
      </c>
      <c r="L76" s="26">
        <v>27535.21</v>
      </c>
      <c r="M76" s="26">
        <v>1587.1</v>
      </c>
      <c r="N76" s="26">
        <v>886.41</v>
      </c>
      <c r="O76" s="26">
        <v>147.86000000000001</v>
      </c>
      <c r="P76" s="26">
        <v>4674.8900000000003</v>
      </c>
      <c r="Q76" s="26">
        <v>371.02</v>
      </c>
      <c r="R76" s="26">
        <v>284.26</v>
      </c>
      <c r="S76" s="26">
        <v>60.92</v>
      </c>
    </row>
    <row r="77" spans="1:19" ht="16.5" thickBot="1" x14ac:dyDescent="0.3">
      <c r="A77" s="88"/>
      <c r="B77" s="27" t="s">
        <v>116</v>
      </c>
      <c r="C77" s="26">
        <v>354</v>
      </c>
      <c r="D77" s="26">
        <v>254</v>
      </c>
      <c r="E77" s="26">
        <v>13</v>
      </c>
      <c r="F77" s="26">
        <v>21</v>
      </c>
      <c r="G77" s="26">
        <v>312</v>
      </c>
      <c r="H77" s="26">
        <v>120.5</v>
      </c>
      <c r="I77" s="26">
        <v>20</v>
      </c>
      <c r="J77" s="26">
        <v>150.66999999999999</v>
      </c>
      <c r="K77" s="26">
        <v>118.3</v>
      </c>
      <c r="L77" s="26">
        <v>33692.449999999997</v>
      </c>
      <c r="M77" s="26">
        <v>1903.6</v>
      </c>
      <c r="N77" s="26">
        <v>1072.31</v>
      </c>
      <c r="O77" s="26">
        <v>149.54</v>
      </c>
      <c r="P77" s="26">
        <v>5745.79</v>
      </c>
      <c r="Q77" s="26">
        <v>452.42</v>
      </c>
      <c r="R77" s="26">
        <v>347.18</v>
      </c>
      <c r="S77" s="26">
        <v>61.75</v>
      </c>
    </row>
    <row r="78" spans="1:19" ht="16.5" thickBot="1" x14ac:dyDescent="0.3">
      <c r="A78" s="88"/>
      <c r="B78" s="27" t="s">
        <v>117</v>
      </c>
      <c r="C78" s="26">
        <v>364</v>
      </c>
      <c r="D78" s="26">
        <v>258</v>
      </c>
      <c r="E78" s="26">
        <v>16</v>
      </c>
      <c r="F78" s="26">
        <v>26</v>
      </c>
      <c r="G78" s="26">
        <v>312</v>
      </c>
      <c r="H78" s="26">
        <v>121</v>
      </c>
      <c r="I78" s="26">
        <v>20</v>
      </c>
      <c r="J78" s="26">
        <v>187.51</v>
      </c>
      <c r="K78" s="26">
        <v>147.19999999999999</v>
      </c>
      <c r="L78" s="26">
        <v>43231.44</v>
      </c>
      <c r="M78" s="26">
        <v>2375.4</v>
      </c>
      <c r="N78" s="26">
        <v>1354.36</v>
      </c>
      <c r="O78" s="26">
        <v>151.84</v>
      </c>
      <c r="P78" s="26">
        <v>7458.32</v>
      </c>
      <c r="Q78" s="26">
        <v>578.16</v>
      </c>
      <c r="R78" s="26">
        <v>444.79</v>
      </c>
      <c r="S78" s="26">
        <v>63.07</v>
      </c>
    </row>
    <row r="79" spans="1:19" ht="16.5" thickBot="1" x14ac:dyDescent="0.3">
      <c r="A79" s="88"/>
      <c r="B79" s="27" t="s">
        <v>118</v>
      </c>
      <c r="C79" s="26">
        <v>376</v>
      </c>
      <c r="D79" s="26">
        <v>260</v>
      </c>
      <c r="E79" s="26">
        <v>19</v>
      </c>
      <c r="F79" s="26">
        <v>32</v>
      </c>
      <c r="G79" s="26">
        <v>312</v>
      </c>
      <c r="H79" s="26">
        <v>120.5</v>
      </c>
      <c r="I79" s="26">
        <v>20</v>
      </c>
      <c r="J79" s="26">
        <v>229.11</v>
      </c>
      <c r="K79" s="26">
        <v>179.9</v>
      </c>
      <c r="L79" s="26">
        <v>54967.48</v>
      </c>
      <c r="M79" s="26">
        <v>2923.9</v>
      </c>
      <c r="N79" s="26">
        <v>1688.25</v>
      </c>
      <c r="O79" s="26">
        <v>154.88999999999999</v>
      </c>
      <c r="P79" s="26">
        <v>9398.8700000000008</v>
      </c>
      <c r="Q79" s="26">
        <v>722.99</v>
      </c>
      <c r="R79" s="26">
        <v>557.28</v>
      </c>
      <c r="S79" s="26">
        <v>64.05</v>
      </c>
    </row>
    <row r="80" spans="1:19" ht="16.5" thickBot="1" x14ac:dyDescent="0.3">
      <c r="A80" s="88"/>
      <c r="B80" s="27" t="s">
        <v>119</v>
      </c>
      <c r="C80" s="26">
        <v>392</v>
      </c>
      <c r="D80" s="26">
        <v>262</v>
      </c>
      <c r="E80" s="26">
        <v>23</v>
      </c>
      <c r="F80" s="26">
        <v>40</v>
      </c>
      <c r="G80" s="26">
        <v>312</v>
      </c>
      <c r="H80" s="26">
        <v>119.5</v>
      </c>
      <c r="I80" s="26">
        <v>20</v>
      </c>
      <c r="J80" s="26">
        <v>284.79000000000002</v>
      </c>
      <c r="K80" s="26">
        <v>223.6</v>
      </c>
      <c r="L80" s="26">
        <v>71815.25</v>
      </c>
      <c r="M80" s="26">
        <v>3664.1</v>
      </c>
      <c r="N80" s="26">
        <v>2150.36</v>
      </c>
      <c r="O80" s="26">
        <v>158.80000000000001</v>
      </c>
      <c r="P80" s="26">
        <v>12030.68</v>
      </c>
      <c r="Q80" s="26">
        <v>918.37</v>
      </c>
      <c r="R80" s="26">
        <v>709.81</v>
      </c>
      <c r="S80" s="26">
        <v>65</v>
      </c>
    </row>
    <row r="81" spans="1:19" ht="16.5" thickBot="1" x14ac:dyDescent="0.3">
      <c r="A81" s="88"/>
      <c r="B81" s="27" t="s">
        <v>120</v>
      </c>
      <c r="C81" s="26">
        <v>383</v>
      </c>
      <c r="D81" s="26">
        <v>299</v>
      </c>
      <c r="E81" s="26">
        <v>9.5</v>
      </c>
      <c r="F81" s="26">
        <v>12.5</v>
      </c>
      <c r="G81" s="26">
        <v>358</v>
      </c>
      <c r="H81" s="26">
        <v>144.75</v>
      </c>
      <c r="I81" s="26">
        <v>22</v>
      </c>
      <c r="J81" s="26">
        <v>112.91</v>
      </c>
      <c r="K81" s="26">
        <v>88.6</v>
      </c>
      <c r="L81" s="26">
        <v>30554.32</v>
      </c>
      <c r="M81" s="26">
        <v>1595.6</v>
      </c>
      <c r="N81" s="26">
        <v>880.73</v>
      </c>
      <c r="O81" s="26">
        <v>164.5</v>
      </c>
      <c r="P81" s="26">
        <v>5576.07</v>
      </c>
      <c r="Q81" s="26">
        <v>372.98</v>
      </c>
      <c r="R81" s="26">
        <v>285.42</v>
      </c>
      <c r="S81" s="26">
        <v>70.27</v>
      </c>
    </row>
    <row r="82" spans="1:19" ht="16.5" thickBot="1" x14ac:dyDescent="0.3">
      <c r="A82" s="88"/>
      <c r="B82" s="27" t="s">
        <v>121</v>
      </c>
      <c r="C82" s="26">
        <v>390</v>
      </c>
      <c r="D82" s="26">
        <v>300</v>
      </c>
      <c r="E82" s="26">
        <v>10</v>
      </c>
      <c r="F82" s="26">
        <v>16</v>
      </c>
      <c r="G82" s="26">
        <v>358</v>
      </c>
      <c r="H82" s="26">
        <v>145</v>
      </c>
      <c r="I82" s="26">
        <v>22</v>
      </c>
      <c r="J82" s="26">
        <v>135.94999999999999</v>
      </c>
      <c r="K82" s="26">
        <v>106.7</v>
      </c>
      <c r="L82" s="26">
        <v>38674.1</v>
      </c>
      <c r="M82" s="26">
        <v>1983.4</v>
      </c>
      <c r="N82" s="26">
        <v>1093.97</v>
      </c>
      <c r="O82" s="26">
        <v>168.66</v>
      </c>
      <c r="P82" s="26">
        <v>7207.76</v>
      </c>
      <c r="Q82" s="26">
        <v>480.52</v>
      </c>
      <c r="R82" s="26">
        <v>366.53</v>
      </c>
      <c r="S82" s="26">
        <v>72.81</v>
      </c>
    </row>
    <row r="83" spans="1:19" ht="16.5" thickBot="1" x14ac:dyDescent="0.3">
      <c r="A83" s="88"/>
      <c r="B83" s="27" t="s">
        <v>122</v>
      </c>
      <c r="C83" s="26">
        <v>397</v>
      </c>
      <c r="D83" s="26">
        <v>302</v>
      </c>
      <c r="E83" s="26">
        <v>12</v>
      </c>
      <c r="F83" s="26">
        <v>19.5</v>
      </c>
      <c r="G83" s="26">
        <v>358</v>
      </c>
      <c r="H83" s="26">
        <v>145</v>
      </c>
      <c r="I83" s="26">
        <v>22</v>
      </c>
      <c r="J83" s="26">
        <v>164.89</v>
      </c>
      <c r="K83" s="26">
        <v>129.4</v>
      </c>
      <c r="L83" s="26">
        <v>47846.38</v>
      </c>
      <c r="M83" s="26">
        <v>2410.5</v>
      </c>
      <c r="N83" s="26">
        <v>1339.96</v>
      </c>
      <c r="O83" s="26">
        <v>170.34</v>
      </c>
      <c r="P83" s="26">
        <v>8962.4699999999993</v>
      </c>
      <c r="Q83" s="26">
        <v>593.54</v>
      </c>
      <c r="R83" s="26">
        <v>453.33</v>
      </c>
      <c r="S83" s="26">
        <v>73.72</v>
      </c>
    </row>
    <row r="84" spans="1:19" ht="16.5" thickBot="1" x14ac:dyDescent="0.3">
      <c r="A84" s="88"/>
      <c r="B84" s="27" t="s">
        <v>123</v>
      </c>
      <c r="C84" s="26">
        <v>406</v>
      </c>
      <c r="D84" s="26">
        <v>304</v>
      </c>
      <c r="E84" s="26">
        <v>14.5</v>
      </c>
      <c r="F84" s="26">
        <v>24</v>
      </c>
      <c r="G84" s="26">
        <v>358</v>
      </c>
      <c r="H84" s="26">
        <v>144.75</v>
      </c>
      <c r="I84" s="26">
        <v>22</v>
      </c>
      <c r="J84" s="26">
        <v>201.98</v>
      </c>
      <c r="K84" s="26">
        <v>158.6</v>
      </c>
      <c r="L84" s="26">
        <v>60107.1</v>
      </c>
      <c r="M84" s="26">
        <v>2961</v>
      </c>
      <c r="N84" s="26">
        <v>1662</v>
      </c>
      <c r="O84" s="26">
        <v>172.51</v>
      </c>
      <c r="P84" s="26">
        <v>11253.72</v>
      </c>
      <c r="Q84" s="26">
        <v>740.38</v>
      </c>
      <c r="R84" s="26">
        <v>566.42999999999995</v>
      </c>
      <c r="S84" s="26">
        <v>74.64</v>
      </c>
    </row>
    <row r="85" spans="1:19" ht="16.5" thickBot="1" x14ac:dyDescent="0.3">
      <c r="A85" s="88"/>
      <c r="B85" s="27" t="s">
        <v>124</v>
      </c>
      <c r="C85" s="26">
        <v>418</v>
      </c>
      <c r="D85" s="26">
        <v>309</v>
      </c>
      <c r="E85" s="26">
        <v>17.5</v>
      </c>
      <c r="F85" s="26">
        <v>30</v>
      </c>
      <c r="G85" s="26">
        <v>358</v>
      </c>
      <c r="H85" s="26">
        <v>145.75</v>
      </c>
      <c r="I85" s="26">
        <v>22</v>
      </c>
      <c r="J85" s="26">
        <v>252.2</v>
      </c>
      <c r="K85" s="26">
        <v>198</v>
      </c>
      <c r="L85" s="26">
        <v>77867.25</v>
      </c>
      <c r="M85" s="26">
        <v>3725.8</v>
      </c>
      <c r="N85" s="26">
        <v>2114.9</v>
      </c>
      <c r="O85" s="26">
        <v>175.71</v>
      </c>
      <c r="P85" s="26">
        <v>14776.25</v>
      </c>
      <c r="Q85" s="26">
        <v>956.39</v>
      </c>
      <c r="R85" s="26">
        <v>732.65</v>
      </c>
      <c r="S85" s="26">
        <v>76.540000000000006</v>
      </c>
    </row>
    <row r="86" spans="1:19" ht="16.5" thickBot="1" x14ac:dyDescent="0.3">
      <c r="A86" s="88"/>
      <c r="B86" s="27" t="s">
        <v>125</v>
      </c>
      <c r="C86" s="26">
        <v>430</v>
      </c>
      <c r="D86" s="26">
        <v>311</v>
      </c>
      <c r="E86" s="26">
        <v>21</v>
      </c>
      <c r="F86" s="26">
        <v>36</v>
      </c>
      <c r="G86" s="26">
        <v>358</v>
      </c>
      <c r="H86" s="26">
        <v>145</v>
      </c>
      <c r="I86" s="26">
        <v>22</v>
      </c>
      <c r="J86" s="26">
        <v>303.25</v>
      </c>
      <c r="K86" s="26">
        <v>238.1</v>
      </c>
      <c r="L86" s="26">
        <v>96432.24</v>
      </c>
      <c r="M86" s="26">
        <v>4485.3</v>
      </c>
      <c r="N86" s="26">
        <v>2578.21</v>
      </c>
      <c r="O86" s="26">
        <v>178.32</v>
      </c>
      <c r="P86" s="26">
        <v>18086.330000000002</v>
      </c>
      <c r="Q86" s="26">
        <v>1163.1099999999999</v>
      </c>
      <c r="R86" s="26">
        <v>893.43</v>
      </c>
      <c r="S86" s="26">
        <v>77.23</v>
      </c>
    </row>
    <row r="87" spans="1:19" ht="16.5" thickBot="1" x14ac:dyDescent="0.3">
      <c r="A87" s="88"/>
      <c r="B87" s="27" t="s">
        <v>126</v>
      </c>
      <c r="C87" s="26">
        <v>446</v>
      </c>
      <c r="D87" s="26">
        <v>313</v>
      </c>
      <c r="E87" s="26">
        <v>25</v>
      </c>
      <c r="F87" s="26">
        <v>44</v>
      </c>
      <c r="G87" s="26">
        <v>358</v>
      </c>
      <c r="H87" s="26">
        <v>144</v>
      </c>
      <c r="I87" s="26">
        <v>22</v>
      </c>
      <c r="J87" s="26">
        <v>369.09</v>
      </c>
      <c r="K87" s="26">
        <v>289.7</v>
      </c>
      <c r="L87" s="26">
        <v>122543.61</v>
      </c>
      <c r="M87" s="26">
        <v>5495.3</v>
      </c>
      <c r="N87" s="26">
        <v>3204.85</v>
      </c>
      <c r="O87" s="26">
        <v>182.21</v>
      </c>
      <c r="P87" s="26">
        <v>22547.06</v>
      </c>
      <c r="Q87" s="26">
        <v>1440.71</v>
      </c>
      <c r="R87" s="26">
        <v>1109.25</v>
      </c>
      <c r="S87" s="26">
        <v>78.16</v>
      </c>
    </row>
    <row r="88" spans="1:19" ht="16.5" thickBot="1" x14ac:dyDescent="0.3">
      <c r="A88" s="88"/>
      <c r="B88" s="27" t="s">
        <v>127</v>
      </c>
      <c r="C88" s="26">
        <v>434</v>
      </c>
      <c r="D88" s="26">
        <v>299</v>
      </c>
      <c r="E88" s="26">
        <v>10</v>
      </c>
      <c r="F88" s="26">
        <v>15</v>
      </c>
      <c r="G88" s="26">
        <v>404</v>
      </c>
      <c r="H88" s="26">
        <v>144.5</v>
      </c>
      <c r="I88" s="26">
        <v>24</v>
      </c>
      <c r="J88" s="26">
        <v>135.04</v>
      </c>
      <c r="K88" s="26">
        <v>106</v>
      </c>
      <c r="L88" s="26">
        <v>46794.17</v>
      </c>
      <c r="M88" s="26">
        <v>2156.5</v>
      </c>
      <c r="N88" s="26">
        <v>1192.24</v>
      </c>
      <c r="O88" s="26">
        <v>186.15</v>
      </c>
      <c r="P88" s="26">
        <v>6692.38</v>
      </c>
      <c r="Q88" s="26">
        <v>447.65</v>
      </c>
      <c r="R88" s="26">
        <v>342.86</v>
      </c>
      <c r="S88" s="26">
        <v>70.400000000000006</v>
      </c>
    </row>
    <row r="89" spans="1:19" ht="16.5" thickBot="1" x14ac:dyDescent="0.3">
      <c r="A89" s="88"/>
      <c r="B89" s="27" t="s">
        <v>128</v>
      </c>
      <c r="C89" s="26">
        <v>440</v>
      </c>
      <c r="D89" s="26">
        <v>300</v>
      </c>
      <c r="E89" s="26">
        <v>11</v>
      </c>
      <c r="F89" s="26">
        <v>18</v>
      </c>
      <c r="G89" s="26">
        <v>404</v>
      </c>
      <c r="H89" s="26">
        <v>144.5</v>
      </c>
      <c r="I89" s="26">
        <v>24</v>
      </c>
      <c r="J89" s="26">
        <v>157.38</v>
      </c>
      <c r="K89" s="26">
        <v>123.5</v>
      </c>
      <c r="L89" s="26">
        <v>56069.13</v>
      </c>
      <c r="M89" s="26">
        <v>2548.6999999999998</v>
      </c>
      <c r="N89" s="26">
        <v>1412.44</v>
      </c>
      <c r="O89" s="26">
        <v>188.75</v>
      </c>
      <c r="P89" s="26">
        <v>8111.3</v>
      </c>
      <c r="Q89" s="26">
        <v>540.75</v>
      </c>
      <c r="R89" s="26">
        <v>413.8</v>
      </c>
      <c r="S89" s="26">
        <v>71.790000000000006</v>
      </c>
    </row>
    <row r="90" spans="1:19" ht="16.5" thickBot="1" x14ac:dyDescent="0.3">
      <c r="A90" s="88"/>
      <c r="B90" s="27" t="s">
        <v>129</v>
      </c>
      <c r="C90" s="26">
        <v>446</v>
      </c>
      <c r="D90" s="26">
        <v>302</v>
      </c>
      <c r="E90" s="26">
        <v>13</v>
      </c>
      <c r="F90" s="26">
        <v>21</v>
      </c>
      <c r="G90" s="26">
        <v>404</v>
      </c>
      <c r="H90" s="26">
        <v>144.5</v>
      </c>
      <c r="I90" s="26">
        <v>24</v>
      </c>
      <c r="J90" s="26">
        <v>184.3</v>
      </c>
      <c r="K90" s="26">
        <v>144.69999999999999</v>
      </c>
      <c r="L90" s="26">
        <v>66379.08</v>
      </c>
      <c r="M90" s="26">
        <v>2976.8</v>
      </c>
      <c r="N90" s="26">
        <v>1661.51</v>
      </c>
      <c r="O90" s="26">
        <v>189.78</v>
      </c>
      <c r="P90" s="26">
        <v>9655.6</v>
      </c>
      <c r="Q90" s="26">
        <v>639.44000000000005</v>
      </c>
      <c r="R90" s="26">
        <v>490.29</v>
      </c>
      <c r="S90" s="26">
        <v>72.38</v>
      </c>
    </row>
    <row r="91" spans="1:19" ht="16.5" thickBot="1" x14ac:dyDescent="0.3">
      <c r="A91" s="88"/>
      <c r="B91" s="27" t="s">
        <v>130</v>
      </c>
      <c r="C91" s="26">
        <v>452</v>
      </c>
      <c r="D91" s="26">
        <v>304</v>
      </c>
      <c r="E91" s="26">
        <v>15</v>
      </c>
      <c r="F91" s="26">
        <v>24</v>
      </c>
      <c r="G91" s="26">
        <v>404</v>
      </c>
      <c r="H91" s="26">
        <v>144.5</v>
      </c>
      <c r="I91" s="26">
        <v>24</v>
      </c>
      <c r="J91" s="26">
        <v>211.46</v>
      </c>
      <c r="K91" s="26">
        <v>166</v>
      </c>
      <c r="L91" s="26">
        <v>77050.83</v>
      </c>
      <c r="M91" s="26">
        <v>3409.4</v>
      </c>
      <c r="N91" s="26">
        <v>1915.99</v>
      </c>
      <c r="O91" s="26">
        <v>190.88</v>
      </c>
      <c r="P91" s="26">
        <v>11258.31</v>
      </c>
      <c r="Q91" s="26">
        <v>740.68</v>
      </c>
      <c r="R91" s="26">
        <v>569.04</v>
      </c>
      <c r="S91" s="26">
        <v>72.97</v>
      </c>
    </row>
    <row r="92" spans="1:19" ht="16.5" thickBot="1" x14ac:dyDescent="0.3">
      <c r="A92" s="88"/>
      <c r="B92" s="27" t="s">
        <v>131</v>
      </c>
      <c r="C92" s="26">
        <v>464</v>
      </c>
      <c r="D92" s="26">
        <v>308</v>
      </c>
      <c r="E92" s="26">
        <v>18</v>
      </c>
      <c r="F92" s="26">
        <v>30</v>
      </c>
      <c r="G92" s="26">
        <v>404</v>
      </c>
      <c r="H92" s="26">
        <v>145</v>
      </c>
      <c r="I92" s="26">
        <v>24</v>
      </c>
      <c r="J92" s="26">
        <v>262.45999999999998</v>
      </c>
      <c r="K92" s="26">
        <v>206</v>
      </c>
      <c r="L92" s="26">
        <v>98962.82</v>
      </c>
      <c r="M92" s="26">
        <v>4265.8</v>
      </c>
      <c r="N92" s="26">
        <v>2420.9299999999998</v>
      </c>
      <c r="O92" s="26">
        <v>194.18</v>
      </c>
      <c r="P92" s="26">
        <v>14639.87</v>
      </c>
      <c r="Q92" s="26">
        <v>950.64</v>
      </c>
      <c r="R92" s="26">
        <v>731.39</v>
      </c>
      <c r="S92" s="26">
        <v>74.69</v>
      </c>
    </row>
    <row r="93" spans="1:19" ht="16.5" thickBot="1" x14ac:dyDescent="0.3">
      <c r="A93" s="88"/>
      <c r="B93" s="27" t="s">
        <v>132</v>
      </c>
      <c r="C93" s="26">
        <v>476</v>
      </c>
      <c r="D93" s="26">
        <v>310</v>
      </c>
      <c r="E93" s="26">
        <v>21</v>
      </c>
      <c r="F93" s="26">
        <v>36</v>
      </c>
      <c r="G93" s="26">
        <v>404</v>
      </c>
      <c r="H93" s="26">
        <v>144.5</v>
      </c>
      <c r="I93" s="26">
        <v>24</v>
      </c>
      <c r="J93" s="26">
        <v>312.98</v>
      </c>
      <c r="K93" s="26">
        <v>245.7</v>
      </c>
      <c r="L93" s="26">
        <v>121722.09</v>
      </c>
      <c r="M93" s="26">
        <v>5114.5</v>
      </c>
      <c r="N93" s="26">
        <v>2932.26</v>
      </c>
      <c r="O93" s="26">
        <v>197.21</v>
      </c>
      <c r="P93" s="26">
        <v>17919.2</v>
      </c>
      <c r="Q93" s="26">
        <v>1156.08</v>
      </c>
      <c r="R93" s="26">
        <v>891.09</v>
      </c>
      <c r="S93" s="26">
        <v>75.67</v>
      </c>
    </row>
    <row r="94" spans="1:19" ht="16.5" thickBot="1" x14ac:dyDescent="0.3">
      <c r="A94" s="88"/>
      <c r="B94" s="27" t="s">
        <v>133</v>
      </c>
      <c r="C94" s="26">
        <v>492</v>
      </c>
      <c r="D94" s="26">
        <v>312</v>
      </c>
      <c r="E94" s="26">
        <v>25</v>
      </c>
      <c r="F94" s="26">
        <v>44</v>
      </c>
      <c r="G94" s="26">
        <v>404</v>
      </c>
      <c r="H94" s="26">
        <v>143.5</v>
      </c>
      <c r="I94" s="26">
        <v>24</v>
      </c>
      <c r="J94" s="26">
        <v>380.5</v>
      </c>
      <c r="K94" s="26">
        <v>298.7</v>
      </c>
      <c r="L94" s="26">
        <v>153856.39000000001</v>
      </c>
      <c r="M94" s="26">
        <v>6254.4</v>
      </c>
      <c r="N94" s="26">
        <v>3633.74</v>
      </c>
      <c r="O94" s="26">
        <v>201.08</v>
      </c>
      <c r="P94" s="26">
        <v>22341.67</v>
      </c>
      <c r="Q94" s="26">
        <v>1432.16</v>
      </c>
      <c r="R94" s="26">
        <v>1106.76</v>
      </c>
      <c r="S94" s="26">
        <v>76.63</v>
      </c>
    </row>
    <row r="95" spans="1:19" ht="16.5" thickBot="1" x14ac:dyDescent="0.3">
      <c r="A95" s="88"/>
      <c r="B95" s="27" t="s">
        <v>134</v>
      </c>
      <c r="C95" s="26">
        <v>482</v>
      </c>
      <c r="D95" s="26">
        <v>300</v>
      </c>
      <c r="E95" s="26">
        <v>11</v>
      </c>
      <c r="F95" s="26">
        <v>15</v>
      </c>
      <c r="G95" s="26">
        <v>452</v>
      </c>
      <c r="H95" s="26">
        <v>144.5</v>
      </c>
      <c r="I95" s="26">
        <v>26</v>
      </c>
      <c r="J95" s="26">
        <v>145.52000000000001</v>
      </c>
      <c r="K95" s="26">
        <v>114.2</v>
      </c>
      <c r="L95" s="26">
        <v>60366.76</v>
      </c>
      <c r="M95" s="26">
        <v>2505</v>
      </c>
      <c r="N95" s="26">
        <v>1395.56</v>
      </c>
      <c r="O95" s="26">
        <v>203.67</v>
      </c>
      <c r="P95" s="26">
        <v>6763.79</v>
      </c>
      <c r="Q95" s="26">
        <v>450.92</v>
      </c>
      <c r="R95" s="26">
        <v>347.62</v>
      </c>
      <c r="S95" s="26">
        <v>68.180000000000007</v>
      </c>
    </row>
    <row r="96" spans="1:19" ht="16.5" thickBot="1" x14ac:dyDescent="0.3">
      <c r="A96" s="88"/>
      <c r="B96" s="27" t="s">
        <v>135</v>
      </c>
      <c r="C96" s="26">
        <v>487</v>
      </c>
      <c r="D96" s="26">
        <v>300</v>
      </c>
      <c r="E96" s="26">
        <v>14.5</v>
      </c>
      <c r="F96" s="26">
        <v>17.5</v>
      </c>
      <c r="G96" s="26">
        <v>452</v>
      </c>
      <c r="H96" s="26">
        <v>142.75</v>
      </c>
      <c r="I96" s="26">
        <v>26</v>
      </c>
      <c r="J96" s="26">
        <v>176.34</v>
      </c>
      <c r="K96" s="26">
        <v>138.4</v>
      </c>
      <c r="L96" s="26">
        <v>71863.009999999995</v>
      </c>
      <c r="M96" s="26">
        <v>2951.4</v>
      </c>
      <c r="N96" s="26">
        <v>1666.63</v>
      </c>
      <c r="O96" s="26">
        <v>201.87</v>
      </c>
      <c r="P96" s="26">
        <v>7897.73</v>
      </c>
      <c r="Q96" s="26">
        <v>526.52</v>
      </c>
      <c r="R96" s="26">
        <v>409.42</v>
      </c>
      <c r="S96" s="26">
        <v>66.92</v>
      </c>
    </row>
    <row r="97" spans="1:19" ht="16.5" thickBot="1" x14ac:dyDescent="0.3">
      <c r="A97" s="88"/>
      <c r="B97" s="27" t="s">
        <v>136</v>
      </c>
      <c r="C97" s="26">
        <v>493</v>
      </c>
      <c r="D97" s="26">
        <v>300</v>
      </c>
      <c r="E97" s="26">
        <v>15.5</v>
      </c>
      <c r="F97" s="26">
        <v>20.5</v>
      </c>
      <c r="G97" s="26">
        <v>452</v>
      </c>
      <c r="H97" s="26">
        <v>142.25</v>
      </c>
      <c r="I97" s="26">
        <v>26</v>
      </c>
      <c r="J97" s="26">
        <v>198.86</v>
      </c>
      <c r="K97" s="26">
        <v>156.1</v>
      </c>
      <c r="L97" s="26">
        <v>83437.19</v>
      </c>
      <c r="M97" s="26">
        <v>3385</v>
      </c>
      <c r="N97" s="26">
        <v>1912.66</v>
      </c>
      <c r="O97" s="26">
        <v>204.83</v>
      </c>
      <c r="P97" s="26">
        <v>9251.0499999999993</v>
      </c>
      <c r="Q97" s="26">
        <v>616.74</v>
      </c>
      <c r="R97" s="26">
        <v>478.76</v>
      </c>
      <c r="S97" s="26">
        <v>68.209999999999994</v>
      </c>
    </row>
    <row r="98" spans="1:19" ht="16.5" thickBot="1" x14ac:dyDescent="0.3">
      <c r="A98" s="88"/>
      <c r="B98" s="27" t="s">
        <v>137</v>
      </c>
      <c r="C98" s="26">
        <v>499</v>
      </c>
      <c r="D98" s="26">
        <v>300</v>
      </c>
      <c r="E98" s="26">
        <v>16.5</v>
      </c>
      <c r="F98" s="26">
        <v>23.5</v>
      </c>
      <c r="G98" s="26">
        <v>452</v>
      </c>
      <c r="H98" s="26">
        <v>141.75</v>
      </c>
      <c r="I98" s="26">
        <v>26</v>
      </c>
      <c r="J98" s="26">
        <v>221.38</v>
      </c>
      <c r="K98" s="26">
        <v>173.8</v>
      </c>
      <c r="L98" s="26">
        <v>95277.59</v>
      </c>
      <c r="M98" s="26">
        <v>3818.9</v>
      </c>
      <c r="N98" s="26">
        <v>2161.4</v>
      </c>
      <c r="O98" s="26">
        <v>207.45</v>
      </c>
      <c r="P98" s="26">
        <v>10604.74</v>
      </c>
      <c r="Q98" s="26">
        <v>706.98</v>
      </c>
      <c r="R98" s="26">
        <v>548.21</v>
      </c>
      <c r="S98" s="26">
        <v>69.209999999999994</v>
      </c>
    </row>
    <row r="99" spans="1:19" ht="16.5" thickBot="1" x14ac:dyDescent="0.3">
      <c r="A99" s="88"/>
      <c r="B99" s="27" t="s">
        <v>138</v>
      </c>
      <c r="C99" s="26">
        <v>508</v>
      </c>
      <c r="D99" s="26">
        <v>302</v>
      </c>
      <c r="E99" s="26">
        <v>19</v>
      </c>
      <c r="F99" s="26">
        <v>28</v>
      </c>
      <c r="G99" s="26">
        <v>452</v>
      </c>
      <c r="H99" s="26">
        <v>141.5</v>
      </c>
      <c r="I99" s="26">
        <v>26</v>
      </c>
      <c r="J99" s="26">
        <v>260.8</v>
      </c>
      <c r="K99" s="26">
        <v>204.7</v>
      </c>
      <c r="L99" s="26">
        <v>114959.83</v>
      </c>
      <c r="M99" s="26">
        <v>4526.1000000000004</v>
      </c>
      <c r="N99" s="26">
        <v>2578.5500000000002</v>
      </c>
      <c r="O99" s="26">
        <v>209.95</v>
      </c>
      <c r="P99" s="26">
        <v>12894.47</v>
      </c>
      <c r="Q99" s="26">
        <v>853.94</v>
      </c>
      <c r="R99" s="26">
        <v>663.27</v>
      </c>
      <c r="S99" s="26">
        <v>70.31</v>
      </c>
    </row>
    <row r="100" spans="1:19" ht="16.5" thickBot="1" x14ac:dyDescent="0.3">
      <c r="A100" s="88"/>
      <c r="B100" s="27" t="s">
        <v>139</v>
      </c>
      <c r="C100" s="26">
        <v>518</v>
      </c>
      <c r="D100" s="26">
        <v>310</v>
      </c>
      <c r="E100" s="26">
        <v>22</v>
      </c>
      <c r="F100" s="26">
        <v>33</v>
      </c>
      <c r="G100" s="26">
        <v>452</v>
      </c>
      <c r="H100" s="26">
        <v>144</v>
      </c>
      <c r="I100" s="26">
        <v>26</v>
      </c>
      <c r="J100" s="26">
        <v>309.83999999999997</v>
      </c>
      <c r="K100" s="26">
        <v>243.2</v>
      </c>
      <c r="L100" s="26">
        <v>140248.12</v>
      </c>
      <c r="M100" s="26">
        <v>5415.1</v>
      </c>
      <c r="N100" s="26">
        <v>3106.5</v>
      </c>
      <c r="O100" s="26">
        <v>212.75</v>
      </c>
      <c r="P100" s="26">
        <v>16442.900000000001</v>
      </c>
      <c r="Q100" s="26">
        <v>1060.83</v>
      </c>
      <c r="R100" s="26">
        <v>825.05</v>
      </c>
      <c r="S100" s="26">
        <v>72.849999999999994</v>
      </c>
    </row>
    <row r="101" spans="1:19" ht="16.5" thickBot="1" x14ac:dyDescent="0.3">
      <c r="A101" s="88"/>
      <c r="B101" s="27" t="s">
        <v>140</v>
      </c>
      <c r="C101" s="26">
        <v>532</v>
      </c>
      <c r="D101" s="26">
        <v>312</v>
      </c>
      <c r="E101" s="26">
        <v>26</v>
      </c>
      <c r="F101" s="26">
        <v>40</v>
      </c>
      <c r="G101" s="26">
        <v>452</v>
      </c>
      <c r="H101" s="26">
        <v>143</v>
      </c>
      <c r="I101" s="26">
        <v>26</v>
      </c>
      <c r="J101" s="26">
        <v>372.92</v>
      </c>
      <c r="K101" s="26">
        <v>292.7</v>
      </c>
      <c r="L101" s="26">
        <v>174203.77</v>
      </c>
      <c r="M101" s="26">
        <v>6549.2</v>
      </c>
      <c r="N101" s="26">
        <v>3797.96</v>
      </c>
      <c r="O101" s="26">
        <v>216.13</v>
      </c>
      <c r="P101" s="26">
        <v>20335.63</v>
      </c>
      <c r="Q101" s="26">
        <v>1303.57</v>
      </c>
      <c r="R101" s="26">
        <v>1017.09</v>
      </c>
      <c r="S101" s="26">
        <v>73.84</v>
      </c>
    </row>
    <row r="102" spans="1:19" ht="16.5" thickBot="1" x14ac:dyDescent="0.3">
      <c r="A102" s="88"/>
      <c r="B102" s="27" t="s">
        <v>141</v>
      </c>
      <c r="C102" s="26">
        <v>548</v>
      </c>
      <c r="D102" s="26">
        <v>314</v>
      </c>
      <c r="E102" s="26">
        <v>30</v>
      </c>
      <c r="F102" s="26">
        <v>48</v>
      </c>
      <c r="G102" s="26">
        <v>452</v>
      </c>
      <c r="H102" s="26">
        <v>142</v>
      </c>
      <c r="I102" s="26">
        <v>26</v>
      </c>
      <c r="J102" s="26">
        <v>442.84</v>
      </c>
      <c r="K102" s="26">
        <v>347.6</v>
      </c>
      <c r="L102" s="26">
        <v>214879.98</v>
      </c>
      <c r="M102" s="26">
        <v>7842.5</v>
      </c>
      <c r="N102" s="26">
        <v>4598.03</v>
      </c>
      <c r="O102" s="26">
        <v>220.28</v>
      </c>
      <c r="P102" s="26">
        <v>24895.49</v>
      </c>
      <c r="Q102" s="26">
        <v>1585.7</v>
      </c>
      <c r="R102" s="26">
        <v>1240.04</v>
      </c>
      <c r="S102" s="26">
        <v>74.98</v>
      </c>
    </row>
    <row r="103" spans="1:19" ht="16.5" thickBot="1" x14ac:dyDescent="0.3">
      <c r="A103" s="88"/>
      <c r="B103" s="27" t="s">
        <v>142</v>
      </c>
      <c r="C103" s="26">
        <v>582</v>
      </c>
      <c r="D103" s="26">
        <v>300</v>
      </c>
      <c r="E103" s="26">
        <v>12</v>
      </c>
      <c r="F103" s="26">
        <v>17</v>
      </c>
      <c r="G103" s="26">
        <v>548</v>
      </c>
      <c r="H103" s="26">
        <v>144</v>
      </c>
      <c r="I103" s="26">
        <v>28</v>
      </c>
      <c r="J103" s="26">
        <v>174.49</v>
      </c>
      <c r="K103" s="26">
        <v>137</v>
      </c>
      <c r="L103" s="26">
        <v>102709.98</v>
      </c>
      <c r="M103" s="26">
        <v>3529.8</v>
      </c>
      <c r="N103" s="26">
        <v>1981.3</v>
      </c>
      <c r="O103" s="26">
        <v>242.62</v>
      </c>
      <c r="P103" s="26">
        <v>7669.82</v>
      </c>
      <c r="Q103" s="26">
        <v>511.32</v>
      </c>
      <c r="R103" s="26">
        <v>396.49</v>
      </c>
      <c r="S103" s="26">
        <v>66.3</v>
      </c>
    </row>
    <row r="104" spans="1:19" ht="16.5" thickBot="1" x14ac:dyDescent="0.3">
      <c r="A104" s="88"/>
      <c r="B104" s="27" t="s">
        <v>143</v>
      </c>
      <c r="C104" s="26">
        <v>589</v>
      </c>
      <c r="D104" s="26">
        <v>300</v>
      </c>
      <c r="E104" s="26">
        <v>16</v>
      </c>
      <c r="F104" s="26">
        <v>20.5</v>
      </c>
      <c r="G104" s="26">
        <v>548</v>
      </c>
      <c r="H104" s="26">
        <v>142</v>
      </c>
      <c r="I104" s="26">
        <v>28</v>
      </c>
      <c r="J104" s="26">
        <v>217.41</v>
      </c>
      <c r="K104" s="26">
        <v>170.7</v>
      </c>
      <c r="L104" s="26">
        <v>126193.28</v>
      </c>
      <c r="M104" s="26">
        <v>4285.3</v>
      </c>
      <c r="N104" s="26">
        <v>2438.84</v>
      </c>
      <c r="O104" s="26">
        <v>240.92</v>
      </c>
      <c r="P104" s="26">
        <v>9259.2000000000007</v>
      </c>
      <c r="Q104" s="26">
        <v>617.28</v>
      </c>
      <c r="R104" s="26">
        <v>483.58</v>
      </c>
      <c r="S104" s="26">
        <v>65.260000000000005</v>
      </c>
    </row>
    <row r="105" spans="1:19" ht="16.5" thickBot="1" x14ac:dyDescent="0.3">
      <c r="A105" s="88"/>
      <c r="B105" s="27" t="s">
        <v>144</v>
      </c>
      <c r="C105" s="26">
        <v>597</v>
      </c>
      <c r="D105" s="26">
        <v>300</v>
      </c>
      <c r="E105" s="26">
        <v>18</v>
      </c>
      <c r="F105" s="26">
        <v>24.5</v>
      </c>
      <c r="G105" s="26">
        <v>548</v>
      </c>
      <c r="H105" s="26">
        <v>141</v>
      </c>
      <c r="I105" s="26">
        <v>28</v>
      </c>
      <c r="J105" s="26">
        <v>252.37</v>
      </c>
      <c r="K105" s="26">
        <v>198.1</v>
      </c>
      <c r="L105" s="26">
        <v>150035.32</v>
      </c>
      <c r="M105" s="26">
        <v>5026.6000000000004</v>
      </c>
      <c r="N105" s="26">
        <v>2869.72</v>
      </c>
      <c r="O105" s="26">
        <v>243.82</v>
      </c>
      <c r="P105" s="26">
        <v>11069.11</v>
      </c>
      <c r="Q105" s="26">
        <v>737.94</v>
      </c>
      <c r="R105" s="26">
        <v>578.58000000000004</v>
      </c>
      <c r="S105" s="28"/>
    </row>
    <row r="106" spans="1:19" ht="16.5" thickBot="1" x14ac:dyDescent="0.3">
      <c r="A106" s="88"/>
      <c r="B106" s="27" t="s">
        <v>145</v>
      </c>
      <c r="C106" s="26">
        <v>605</v>
      </c>
      <c r="D106" s="26">
        <v>300</v>
      </c>
      <c r="E106" s="26">
        <v>20</v>
      </c>
      <c r="F106" s="26">
        <v>28.5</v>
      </c>
      <c r="G106" s="26">
        <v>548</v>
      </c>
      <c r="H106" s="26">
        <v>140</v>
      </c>
      <c r="I106" s="26">
        <v>28</v>
      </c>
      <c r="J106" s="26">
        <v>287.33</v>
      </c>
      <c r="K106" s="26">
        <v>225.6</v>
      </c>
      <c r="L106" s="26">
        <v>174450.48</v>
      </c>
      <c r="M106" s="26">
        <v>5767.2</v>
      </c>
      <c r="N106" s="26">
        <v>3305.39</v>
      </c>
      <c r="O106" s="26">
        <v>246.4</v>
      </c>
      <c r="P106" s="26">
        <v>12881.13</v>
      </c>
      <c r="Q106" s="26">
        <v>858.74</v>
      </c>
      <c r="R106" s="26">
        <v>674.12</v>
      </c>
      <c r="S106" s="26">
        <v>66.959999999999994</v>
      </c>
    </row>
    <row r="107" spans="1:19" ht="16.5" thickBot="1" x14ac:dyDescent="0.3">
      <c r="A107" s="88"/>
      <c r="B107" s="27" t="s">
        <v>146</v>
      </c>
      <c r="C107" s="26">
        <v>616</v>
      </c>
      <c r="D107" s="26">
        <v>302</v>
      </c>
      <c r="E107" s="26">
        <v>23</v>
      </c>
      <c r="F107" s="26">
        <v>34</v>
      </c>
      <c r="G107" s="26">
        <v>548</v>
      </c>
      <c r="H107" s="26">
        <v>139.5</v>
      </c>
      <c r="I107" s="26">
        <v>28</v>
      </c>
      <c r="J107" s="26">
        <v>338.13</v>
      </c>
      <c r="K107" s="26">
        <v>265.39999999999998</v>
      </c>
      <c r="L107" s="26">
        <v>210467.04</v>
      </c>
      <c r="M107" s="26">
        <v>6833.6</v>
      </c>
      <c r="N107" s="26">
        <v>3941.46</v>
      </c>
      <c r="O107" s="26">
        <v>249.49</v>
      </c>
      <c r="P107" s="26">
        <v>15686.64</v>
      </c>
      <c r="Q107" s="26">
        <v>1038.8499999999999</v>
      </c>
      <c r="R107" s="26">
        <v>817.44</v>
      </c>
      <c r="S107" s="26">
        <v>68.11</v>
      </c>
    </row>
    <row r="108" spans="1:19" ht="16.5" thickBot="1" x14ac:dyDescent="0.3">
      <c r="A108" s="88"/>
      <c r="B108" s="27" t="s">
        <v>147</v>
      </c>
      <c r="C108" s="26">
        <v>630</v>
      </c>
      <c r="D108" s="26">
        <v>315</v>
      </c>
      <c r="E108" s="26">
        <v>27</v>
      </c>
      <c r="F108" s="26">
        <v>41</v>
      </c>
      <c r="G108" s="26">
        <v>548</v>
      </c>
      <c r="H108" s="26">
        <v>144</v>
      </c>
      <c r="I108" s="26">
        <v>28</v>
      </c>
      <c r="J108" s="26">
        <v>412.99</v>
      </c>
      <c r="K108" s="26">
        <v>324.2</v>
      </c>
      <c r="L108" s="26">
        <v>266239.93</v>
      </c>
      <c r="M108" s="26">
        <v>8452.2999999999993</v>
      </c>
      <c r="N108" s="26">
        <v>4907.09</v>
      </c>
      <c r="O108" s="26">
        <v>253.9</v>
      </c>
      <c r="P108" s="26">
        <v>21476.15</v>
      </c>
      <c r="Q108" s="26">
        <v>1363.57</v>
      </c>
      <c r="R108" s="26">
        <v>1073.6400000000001</v>
      </c>
      <c r="S108" s="26">
        <v>72.11</v>
      </c>
    </row>
    <row r="109" spans="1:19" ht="16.5" thickBot="1" x14ac:dyDescent="0.3">
      <c r="A109" s="88"/>
      <c r="B109" s="27" t="s">
        <v>148</v>
      </c>
      <c r="C109" s="26">
        <v>644</v>
      </c>
      <c r="D109" s="26">
        <v>317</v>
      </c>
      <c r="E109" s="26">
        <v>31</v>
      </c>
      <c r="F109" s="26">
        <v>48</v>
      </c>
      <c r="G109" s="26">
        <v>548</v>
      </c>
      <c r="H109" s="26">
        <v>143</v>
      </c>
      <c r="I109" s="26">
        <v>28</v>
      </c>
      <c r="J109" s="26">
        <v>480.93</v>
      </c>
      <c r="K109" s="26">
        <v>377.5</v>
      </c>
      <c r="L109" s="26">
        <v>318172.03999999998</v>
      </c>
      <c r="M109" s="26">
        <v>9881.4</v>
      </c>
      <c r="N109" s="26">
        <v>5788.14</v>
      </c>
      <c r="O109" s="26">
        <v>257.20999999999998</v>
      </c>
      <c r="P109" s="26">
        <v>25653.72</v>
      </c>
      <c r="Q109" s="26">
        <v>1618.53</v>
      </c>
      <c r="R109" s="26">
        <v>1279.02</v>
      </c>
      <c r="S109" s="26">
        <v>73.040000000000006</v>
      </c>
    </row>
    <row r="110" spans="1:19" ht="16.5" thickBot="1" x14ac:dyDescent="0.3">
      <c r="A110" s="88"/>
      <c r="B110" s="27" t="s">
        <v>149</v>
      </c>
      <c r="C110" s="26">
        <v>664</v>
      </c>
      <c r="D110" s="26">
        <v>319</v>
      </c>
      <c r="E110" s="26">
        <v>36</v>
      </c>
      <c r="F110" s="26">
        <v>58</v>
      </c>
      <c r="G110" s="26">
        <v>548</v>
      </c>
      <c r="H110" s="26">
        <v>141.5</v>
      </c>
      <c r="I110" s="26">
        <v>28</v>
      </c>
      <c r="J110" s="26">
        <v>574.04999999999995</v>
      </c>
      <c r="K110" s="26">
        <v>450.6</v>
      </c>
      <c r="L110" s="26">
        <v>394963.73</v>
      </c>
      <c r="M110" s="26">
        <v>11896.7</v>
      </c>
      <c r="N110" s="26">
        <v>7047.57</v>
      </c>
      <c r="O110" s="26">
        <v>262.3</v>
      </c>
      <c r="P110" s="26">
        <v>31634.17</v>
      </c>
      <c r="Q110" s="26">
        <v>1983.33</v>
      </c>
      <c r="R110" s="26">
        <v>1572.47</v>
      </c>
      <c r="S110" s="26">
        <v>74.23</v>
      </c>
    </row>
    <row r="111" spans="1:19" ht="16.5" thickBot="1" x14ac:dyDescent="0.3">
      <c r="A111" s="88"/>
      <c r="B111" s="27" t="s">
        <v>150</v>
      </c>
      <c r="C111" s="26">
        <v>692</v>
      </c>
      <c r="D111" s="26">
        <v>300</v>
      </c>
      <c r="E111" s="26">
        <v>13</v>
      </c>
      <c r="F111" s="26">
        <v>20</v>
      </c>
      <c r="G111" s="26">
        <v>652</v>
      </c>
      <c r="H111" s="26">
        <v>143.5</v>
      </c>
      <c r="I111" s="26">
        <v>28</v>
      </c>
      <c r="J111" s="26">
        <v>211.49</v>
      </c>
      <c r="K111" s="26">
        <v>166</v>
      </c>
      <c r="L111" s="26">
        <v>172424.05</v>
      </c>
      <c r="M111" s="26">
        <v>4983.7</v>
      </c>
      <c r="N111" s="26">
        <v>2814.39</v>
      </c>
      <c r="O111" s="26">
        <v>285.52999999999997</v>
      </c>
      <c r="P111" s="26">
        <v>9024.7099999999991</v>
      </c>
      <c r="Q111" s="26">
        <v>601.65</v>
      </c>
      <c r="R111" s="26">
        <v>468.06</v>
      </c>
      <c r="S111" s="26">
        <v>65.319999999999993</v>
      </c>
    </row>
    <row r="112" spans="1:19" ht="16.5" thickBot="1" x14ac:dyDescent="0.3">
      <c r="A112" s="88"/>
      <c r="B112" s="27" t="s">
        <v>151</v>
      </c>
      <c r="C112" s="26">
        <v>698</v>
      </c>
      <c r="D112" s="26">
        <v>300</v>
      </c>
      <c r="E112" s="26">
        <v>15</v>
      </c>
      <c r="F112" s="26">
        <v>23</v>
      </c>
      <c r="G112" s="26">
        <v>652</v>
      </c>
      <c r="H112" s="26">
        <v>142.5</v>
      </c>
      <c r="I112" s="26">
        <v>28</v>
      </c>
      <c r="J112" s="26">
        <v>242.53</v>
      </c>
      <c r="K112" s="26">
        <v>190.4</v>
      </c>
      <c r="L112" s="26">
        <v>198779.77</v>
      </c>
      <c r="M112" s="26">
        <v>5696</v>
      </c>
      <c r="N112" s="26">
        <v>3233.41</v>
      </c>
      <c r="O112" s="26">
        <v>286.29000000000002</v>
      </c>
      <c r="P112" s="26">
        <v>10382.89</v>
      </c>
      <c r="Q112" s="26">
        <v>692.19</v>
      </c>
      <c r="R112" s="26">
        <v>540.47</v>
      </c>
      <c r="S112" s="26">
        <v>65.430000000000007</v>
      </c>
    </row>
    <row r="113" spans="1:19" ht="16.5" thickBot="1" x14ac:dyDescent="0.3">
      <c r="A113" s="88"/>
      <c r="B113" s="27" t="s">
        <v>152</v>
      </c>
      <c r="C113" s="26">
        <v>707</v>
      </c>
      <c r="D113" s="26">
        <v>300</v>
      </c>
      <c r="E113" s="26">
        <v>18</v>
      </c>
      <c r="F113" s="26">
        <v>27.5</v>
      </c>
      <c r="G113" s="26">
        <v>652</v>
      </c>
      <c r="H113" s="26">
        <v>141</v>
      </c>
      <c r="I113" s="26">
        <v>28</v>
      </c>
      <c r="J113" s="26">
        <v>289.08999999999997</v>
      </c>
      <c r="K113" s="26">
        <v>226.9</v>
      </c>
      <c r="L113" s="26">
        <v>239021.1</v>
      </c>
      <c r="M113" s="26">
        <v>6761.9</v>
      </c>
      <c r="N113" s="26">
        <v>3867.02</v>
      </c>
      <c r="O113" s="26">
        <v>287.54000000000002</v>
      </c>
      <c r="P113" s="26">
        <v>12424.17</v>
      </c>
      <c r="Q113" s="26">
        <v>828.28</v>
      </c>
      <c r="R113" s="26">
        <v>650.29</v>
      </c>
      <c r="S113" s="26">
        <v>65.56</v>
      </c>
    </row>
    <row r="114" spans="1:19" ht="16.5" thickBot="1" x14ac:dyDescent="0.3">
      <c r="A114" s="88"/>
      <c r="B114" s="27" t="s">
        <v>153</v>
      </c>
      <c r="C114" s="26">
        <v>715</v>
      </c>
      <c r="D114" s="26">
        <v>300</v>
      </c>
      <c r="E114" s="26">
        <v>20.5</v>
      </c>
      <c r="F114" s="26">
        <v>31.5</v>
      </c>
      <c r="G114" s="26">
        <v>652</v>
      </c>
      <c r="H114" s="26">
        <v>139.80000000000001</v>
      </c>
      <c r="I114" s="26">
        <v>28</v>
      </c>
      <c r="J114" s="26">
        <v>329.39</v>
      </c>
      <c r="K114" s="26">
        <v>258.60000000000002</v>
      </c>
      <c r="L114" s="26">
        <v>275127.01</v>
      </c>
      <c r="M114" s="26">
        <v>7696.2</v>
      </c>
      <c r="N114" s="26">
        <v>4426.46</v>
      </c>
      <c r="O114" s="26">
        <v>289.01</v>
      </c>
      <c r="P114" s="26">
        <v>14095.21</v>
      </c>
      <c r="Q114" s="26">
        <v>939.68</v>
      </c>
      <c r="R114" s="26">
        <v>748.55</v>
      </c>
      <c r="S114" s="26">
        <v>65.42</v>
      </c>
    </row>
    <row r="115" spans="1:19" ht="16.5" thickBot="1" x14ac:dyDescent="0.3">
      <c r="A115" s="88"/>
      <c r="B115" s="27" t="s">
        <v>154</v>
      </c>
      <c r="C115" s="26">
        <v>725</v>
      </c>
      <c r="D115" s="26">
        <v>300</v>
      </c>
      <c r="E115" s="26">
        <v>23</v>
      </c>
      <c r="F115" s="26">
        <v>36.5</v>
      </c>
      <c r="G115" s="26">
        <v>652</v>
      </c>
      <c r="H115" s="26">
        <v>138.5</v>
      </c>
      <c r="I115" s="26">
        <v>28</v>
      </c>
      <c r="J115" s="26">
        <v>375.69</v>
      </c>
      <c r="K115" s="26">
        <v>294.89999999999998</v>
      </c>
      <c r="L115" s="26">
        <v>319781.96000000002</v>
      </c>
      <c r="M115" s="26">
        <v>8821.9</v>
      </c>
      <c r="N115" s="26">
        <v>5099.3100000000004</v>
      </c>
      <c r="O115" s="26">
        <v>291.75</v>
      </c>
      <c r="P115" s="26">
        <v>16514.14</v>
      </c>
      <c r="Q115" s="26">
        <v>1100.94</v>
      </c>
      <c r="R115" s="26">
        <v>870.34</v>
      </c>
      <c r="S115" s="26">
        <v>66.3</v>
      </c>
    </row>
    <row r="116" spans="1:19" ht="16.5" thickBot="1" x14ac:dyDescent="0.3">
      <c r="A116" s="88"/>
      <c r="B116" s="27" t="s">
        <v>155</v>
      </c>
      <c r="C116" s="26">
        <v>740</v>
      </c>
      <c r="D116" s="26">
        <v>313</v>
      </c>
      <c r="E116" s="26">
        <v>27</v>
      </c>
      <c r="F116" s="26">
        <v>44</v>
      </c>
      <c r="G116" s="26">
        <v>652</v>
      </c>
      <c r="H116" s="26">
        <v>143</v>
      </c>
      <c r="I116" s="26">
        <v>28</v>
      </c>
      <c r="J116" s="26">
        <v>458.21</v>
      </c>
      <c r="K116" s="26">
        <v>359.7</v>
      </c>
      <c r="L116" s="26">
        <v>403258.33</v>
      </c>
      <c r="M116" s="26">
        <v>10899.2</v>
      </c>
      <c r="N116" s="26">
        <v>6334.98</v>
      </c>
      <c r="O116" s="26">
        <v>296.66000000000003</v>
      </c>
      <c r="P116" s="26">
        <v>22622.18</v>
      </c>
      <c r="Q116" s="26">
        <v>1445.51</v>
      </c>
      <c r="R116" s="26">
        <v>1143.72</v>
      </c>
      <c r="S116" s="26">
        <v>70.260000000000005</v>
      </c>
    </row>
    <row r="117" spans="1:19" ht="16.5" thickBot="1" x14ac:dyDescent="0.3">
      <c r="A117" s="88"/>
      <c r="B117" s="27" t="s">
        <v>156</v>
      </c>
      <c r="C117" s="26">
        <v>758</v>
      </c>
      <c r="D117" s="26">
        <v>315</v>
      </c>
      <c r="E117" s="26">
        <v>32</v>
      </c>
      <c r="F117" s="26">
        <v>53</v>
      </c>
      <c r="G117" s="26">
        <v>652</v>
      </c>
      <c r="H117" s="26">
        <v>141.5</v>
      </c>
      <c r="I117" s="26">
        <v>28</v>
      </c>
      <c r="J117" s="26">
        <v>549.27</v>
      </c>
      <c r="K117" s="26">
        <v>431.2</v>
      </c>
      <c r="L117" s="26">
        <v>496466.98</v>
      </c>
      <c r="M117" s="26">
        <v>13099.7</v>
      </c>
      <c r="N117" s="26">
        <v>7693</v>
      </c>
      <c r="O117" s="26">
        <v>300.64</v>
      </c>
      <c r="P117" s="26">
        <v>27822.55</v>
      </c>
      <c r="Q117" s="26">
        <v>1766.51</v>
      </c>
      <c r="R117" s="26">
        <v>1405.68</v>
      </c>
      <c r="S117" s="26">
        <v>71.17</v>
      </c>
    </row>
    <row r="118" spans="1:19" ht="16.5" thickBot="1" x14ac:dyDescent="0.3">
      <c r="A118" s="89"/>
      <c r="B118" s="27" t="s">
        <v>157</v>
      </c>
      <c r="C118" s="26">
        <v>780</v>
      </c>
      <c r="D118" s="26">
        <v>317</v>
      </c>
      <c r="E118" s="26">
        <v>38</v>
      </c>
      <c r="F118" s="26">
        <v>64</v>
      </c>
      <c r="G118" s="26">
        <v>652</v>
      </c>
      <c r="H118" s="26">
        <v>139.5</v>
      </c>
      <c r="I118" s="26">
        <v>28</v>
      </c>
      <c r="J118" s="26">
        <v>660.25</v>
      </c>
      <c r="K118" s="26">
        <v>518.29999999999995</v>
      </c>
      <c r="L118" s="26">
        <v>616075.38</v>
      </c>
      <c r="M118" s="26">
        <v>15797.1</v>
      </c>
      <c r="N118" s="26">
        <v>9389.94</v>
      </c>
      <c r="O118" s="26">
        <v>305.47000000000003</v>
      </c>
      <c r="P118" s="26">
        <v>34321.56</v>
      </c>
      <c r="Q118" s="26">
        <v>2165.4</v>
      </c>
      <c r="R118" s="26">
        <v>1734.01</v>
      </c>
      <c r="S118" s="26">
        <v>72.099999999999994</v>
      </c>
    </row>
    <row r="119" spans="1:19" ht="16.5" thickBot="1" x14ac:dyDescent="0.3">
      <c r="A119" s="87" t="s">
        <v>158</v>
      </c>
      <c r="B119" s="27" t="s">
        <v>159</v>
      </c>
      <c r="C119" s="26">
        <v>147</v>
      </c>
      <c r="D119" s="26">
        <v>149</v>
      </c>
      <c r="E119" s="26">
        <v>6</v>
      </c>
      <c r="F119" s="26">
        <v>8.5</v>
      </c>
      <c r="G119" s="26">
        <v>130</v>
      </c>
      <c r="H119" s="26">
        <v>71.5</v>
      </c>
      <c r="I119" s="26">
        <v>11</v>
      </c>
      <c r="J119" s="26">
        <v>34.17</v>
      </c>
      <c r="K119" s="26">
        <v>26.8</v>
      </c>
      <c r="L119" s="26">
        <v>1366.76</v>
      </c>
      <c r="M119" s="26">
        <v>186</v>
      </c>
      <c r="N119" s="26">
        <v>103.63</v>
      </c>
      <c r="O119" s="26">
        <v>63.25</v>
      </c>
      <c r="P119" s="26">
        <v>469.21</v>
      </c>
      <c r="Q119" s="26">
        <v>62.98</v>
      </c>
      <c r="R119" s="26">
        <v>48.05</v>
      </c>
      <c r="S119" s="26">
        <v>37.06</v>
      </c>
    </row>
    <row r="120" spans="1:19" ht="16.5" thickBot="1" x14ac:dyDescent="0.3">
      <c r="A120" s="88"/>
      <c r="B120" s="27" t="s">
        <v>160</v>
      </c>
      <c r="C120" s="26">
        <v>150</v>
      </c>
      <c r="D120" s="26">
        <v>150</v>
      </c>
      <c r="E120" s="26">
        <v>7</v>
      </c>
      <c r="F120" s="26">
        <v>10</v>
      </c>
      <c r="G120" s="26">
        <v>130</v>
      </c>
      <c r="H120" s="26">
        <v>71.5</v>
      </c>
      <c r="I120" s="26">
        <v>11</v>
      </c>
      <c r="J120" s="26">
        <v>40.14</v>
      </c>
      <c r="K120" s="26">
        <v>31.5</v>
      </c>
      <c r="L120" s="26">
        <v>1641.33</v>
      </c>
      <c r="M120" s="26">
        <v>218.8</v>
      </c>
      <c r="N120" s="26">
        <v>123.04</v>
      </c>
      <c r="O120" s="26">
        <v>63.95</v>
      </c>
      <c r="P120" s="26">
        <v>563.28</v>
      </c>
      <c r="Q120" s="26">
        <v>75.099999999999994</v>
      </c>
      <c r="R120" s="26">
        <v>57.36</v>
      </c>
      <c r="S120" s="26">
        <v>37.46</v>
      </c>
    </row>
    <row r="121" spans="1:19" ht="16.5" thickBot="1" x14ac:dyDescent="0.3">
      <c r="A121" s="88"/>
      <c r="B121" s="27" t="s">
        <v>161</v>
      </c>
      <c r="C121" s="26">
        <v>155</v>
      </c>
      <c r="D121" s="26">
        <v>151</v>
      </c>
      <c r="E121" s="26">
        <v>8.5</v>
      </c>
      <c r="F121" s="26">
        <v>12.5</v>
      </c>
      <c r="G121" s="26">
        <v>130</v>
      </c>
      <c r="H121" s="26">
        <v>71.25</v>
      </c>
      <c r="I121" s="26">
        <v>11</v>
      </c>
      <c r="J121" s="26">
        <v>49.84</v>
      </c>
      <c r="K121" s="26">
        <v>39.1</v>
      </c>
      <c r="L121" s="26">
        <v>2117.61</v>
      </c>
      <c r="M121" s="26">
        <v>273.2</v>
      </c>
      <c r="N121" s="26">
        <v>155.69</v>
      </c>
      <c r="O121" s="26">
        <v>65.180000000000007</v>
      </c>
      <c r="P121" s="26">
        <v>718.46</v>
      </c>
      <c r="Q121" s="26">
        <v>95.16</v>
      </c>
      <c r="R121" s="26">
        <v>72.78</v>
      </c>
      <c r="S121" s="26">
        <v>37.97</v>
      </c>
    </row>
    <row r="122" spans="1:19" ht="16.5" thickBot="1" x14ac:dyDescent="0.3">
      <c r="A122" s="88"/>
      <c r="B122" s="27" t="s">
        <v>162</v>
      </c>
      <c r="C122" s="26">
        <v>160</v>
      </c>
      <c r="D122" s="26">
        <v>152</v>
      </c>
      <c r="E122" s="26">
        <v>10</v>
      </c>
      <c r="F122" s="26">
        <v>15</v>
      </c>
      <c r="G122" s="26">
        <v>130</v>
      </c>
      <c r="H122" s="26">
        <v>71</v>
      </c>
      <c r="I122" s="26">
        <v>11</v>
      </c>
      <c r="J122" s="26">
        <v>59.64</v>
      </c>
      <c r="K122" s="26">
        <v>46.8</v>
      </c>
      <c r="L122" s="26">
        <v>2629.16</v>
      </c>
      <c r="M122" s="26">
        <v>328.6</v>
      </c>
      <c r="N122" s="26">
        <v>189.67</v>
      </c>
      <c r="O122" s="26">
        <v>66.400000000000006</v>
      </c>
      <c r="P122" s="26">
        <v>879.66</v>
      </c>
      <c r="Q122" s="26">
        <v>115.74</v>
      </c>
      <c r="R122" s="26">
        <v>88.65</v>
      </c>
      <c r="S122" s="26">
        <v>38.409999999999997</v>
      </c>
    </row>
    <row r="123" spans="1:19" ht="16.5" thickBot="1" x14ac:dyDescent="0.3">
      <c r="A123" s="88"/>
      <c r="B123" s="27" t="s">
        <v>163</v>
      </c>
      <c r="C123" s="26">
        <v>166</v>
      </c>
      <c r="D123" s="26">
        <v>153</v>
      </c>
      <c r="E123" s="26">
        <v>12</v>
      </c>
      <c r="F123" s="26">
        <v>18</v>
      </c>
      <c r="G123" s="26">
        <v>130</v>
      </c>
      <c r="H123" s="26">
        <v>70.5</v>
      </c>
      <c r="I123" s="26">
        <v>11</v>
      </c>
      <c r="J123" s="26">
        <v>71.72</v>
      </c>
      <c r="K123" s="26">
        <v>56.3</v>
      </c>
      <c r="L123" s="26">
        <v>3291.43</v>
      </c>
      <c r="M123" s="26">
        <v>396.6</v>
      </c>
      <c r="N123" s="26">
        <v>232.39</v>
      </c>
      <c r="O123" s="26">
        <v>67.739999999999995</v>
      </c>
      <c r="P123" s="26">
        <v>1077.1300000000001</v>
      </c>
      <c r="Q123" s="26">
        <v>140.80000000000001</v>
      </c>
      <c r="R123" s="26">
        <v>108.12</v>
      </c>
      <c r="S123" s="26">
        <v>38.75</v>
      </c>
    </row>
    <row r="124" spans="1:19" ht="16.5" thickBot="1" x14ac:dyDescent="0.3">
      <c r="A124" s="88"/>
      <c r="B124" s="27" t="s">
        <v>164</v>
      </c>
      <c r="C124" s="26">
        <v>196</v>
      </c>
      <c r="D124" s="26">
        <v>199</v>
      </c>
      <c r="E124" s="26">
        <v>6.5</v>
      </c>
      <c r="F124" s="26">
        <v>10</v>
      </c>
      <c r="G124" s="26">
        <v>176</v>
      </c>
      <c r="H124" s="26">
        <v>96.25</v>
      </c>
      <c r="I124" s="26">
        <v>13</v>
      </c>
      <c r="J124" s="26">
        <v>52.69</v>
      </c>
      <c r="K124" s="26">
        <v>41.4</v>
      </c>
      <c r="L124" s="26">
        <v>3846.06</v>
      </c>
      <c r="M124" s="26">
        <v>392.5</v>
      </c>
      <c r="N124" s="26">
        <v>216.41</v>
      </c>
      <c r="O124" s="26">
        <v>85.44</v>
      </c>
      <c r="P124" s="26">
        <v>1314.47</v>
      </c>
      <c r="Q124" s="26">
        <v>132.11000000000001</v>
      </c>
      <c r="R124" s="26">
        <v>100.38</v>
      </c>
      <c r="S124" s="26">
        <v>49.95</v>
      </c>
    </row>
    <row r="125" spans="1:19" ht="16.5" thickBot="1" x14ac:dyDescent="0.3">
      <c r="A125" s="88"/>
      <c r="B125" s="27" t="s">
        <v>165</v>
      </c>
      <c r="C125" s="26">
        <v>200</v>
      </c>
      <c r="D125" s="26">
        <v>200</v>
      </c>
      <c r="E125" s="26">
        <v>8</v>
      </c>
      <c r="F125" s="26">
        <v>12</v>
      </c>
      <c r="G125" s="26">
        <v>176</v>
      </c>
      <c r="H125" s="26">
        <v>96</v>
      </c>
      <c r="I125" s="26">
        <v>13</v>
      </c>
      <c r="J125" s="26">
        <v>63.53</v>
      </c>
      <c r="K125" s="26">
        <v>49.9</v>
      </c>
      <c r="L125" s="26">
        <v>4715.63</v>
      </c>
      <c r="M125" s="26">
        <v>471.6</v>
      </c>
      <c r="N125" s="26">
        <v>262.75</v>
      </c>
      <c r="O125" s="26">
        <v>86.15</v>
      </c>
      <c r="P125" s="26">
        <v>1601.53</v>
      </c>
      <c r="Q125" s="26">
        <v>160.15</v>
      </c>
      <c r="R125" s="26">
        <v>121.91</v>
      </c>
      <c r="S125" s="26">
        <v>50.21</v>
      </c>
    </row>
    <row r="126" spans="1:19" ht="16.5" thickBot="1" x14ac:dyDescent="0.3">
      <c r="A126" s="88"/>
      <c r="B126" s="27" t="s">
        <v>166</v>
      </c>
      <c r="C126" s="26">
        <v>204</v>
      </c>
      <c r="D126" s="26">
        <v>201</v>
      </c>
      <c r="E126" s="26">
        <v>9</v>
      </c>
      <c r="F126" s="26">
        <v>14</v>
      </c>
      <c r="G126" s="26">
        <v>176</v>
      </c>
      <c r="H126" s="26">
        <v>96</v>
      </c>
      <c r="I126" s="26">
        <v>13</v>
      </c>
      <c r="J126" s="26">
        <v>73.569999999999993</v>
      </c>
      <c r="K126" s="26">
        <v>57.8</v>
      </c>
      <c r="L126" s="26">
        <v>5602.48</v>
      </c>
      <c r="M126" s="26">
        <v>549.29999999999995</v>
      </c>
      <c r="N126" s="26">
        <v>308.35000000000002</v>
      </c>
      <c r="O126" s="26">
        <v>87.26</v>
      </c>
      <c r="P126" s="26">
        <v>1896.76</v>
      </c>
      <c r="Q126" s="26">
        <v>188.73</v>
      </c>
      <c r="R126" s="26">
        <v>143.72</v>
      </c>
      <c r="S126" s="26">
        <v>50.78</v>
      </c>
    </row>
    <row r="127" spans="1:19" ht="16.5" thickBot="1" x14ac:dyDescent="0.3">
      <c r="A127" s="88"/>
      <c r="B127" s="27" t="s">
        <v>167</v>
      </c>
      <c r="C127" s="26">
        <v>210</v>
      </c>
      <c r="D127" s="26">
        <v>201</v>
      </c>
      <c r="E127" s="26">
        <v>10.5</v>
      </c>
      <c r="F127" s="26">
        <v>17</v>
      </c>
      <c r="G127" s="26">
        <v>176</v>
      </c>
      <c r="H127" s="26">
        <v>95.25</v>
      </c>
      <c r="I127" s="26">
        <v>13</v>
      </c>
      <c r="J127" s="26">
        <v>88.27</v>
      </c>
      <c r="K127" s="26">
        <v>69.3</v>
      </c>
      <c r="L127" s="26">
        <v>6962.62</v>
      </c>
      <c r="M127" s="26">
        <v>663.1</v>
      </c>
      <c r="N127" s="26">
        <v>376.57</v>
      </c>
      <c r="O127" s="26">
        <v>88.81</v>
      </c>
      <c r="P127" s="26">
        <v>2303.58</v>
      </c>
      <c r="Q127" s="26">
        <v>229.21</v>
      </c>
      <c r="R127" s="26">
        <v>174.72</v>
      </c>
      <c r="S127" s="26">
        <v>51.09</v>
      </c>
    </row>
    <row r="128" spans="1:19" ht="16.5" thickBot="1" x14ac:dyDescent="0.3">
      <c r="A128" s="88"/>
      <c r="B128" s="27" t="s">
        <v>168</v>
      </c>
      <c r="C128" s="26">
        <v>214</v>
      </c>
      <c r="D128" s="26">
        <v>202</v>
      </c>
      <c r="E128" s="26">
        <v>12</v>
      </c>
      <c r="F128" s="26">
        <v>19</v>
      </c>
      <c r="G128" s="26">
        <v>176</v>
      </c>
      <c r="H128" s="26">
        <v>95</v>
      </c>
      <c r="I128" s="26">
        <v>13</v>
      </c>
      <c r="J128" s="26">
        <v>99.33</v>
      </c>
      <c r="K128" s="26">
        <v>78</v>
      </c>
      <c r="L128" s="26">
        <v>7970.4</v>
      </c>
      <c r="M128" s="26">
        <v>744.9</v>
      </c>
      <c r="N128" s="26">
        <v>426.84</v>
      </c>
      <c r="O128" s="26">
        <v>89.58</v>
      </c>
      <c r="P128" s="26">
        <v>2613.86</v>
      </c>
      <c r="Q128" s="26">
        <v>258.8</v>
      </c>
      <c r="R128" s="26">
        <v>197.63</v>
      </c>
      <c r="S128" s="26">
        <v>51.3</v>
      </c>
    </row>
    <row r="129" spans="1:19" ht="16.5" thickBot="1" x14ac:dyDescent="0.3">
      <c r="A129" s="88"/>
      <c r="B129" s="27" t="s">
        <v>169</v>
      </c>
      <c r="C129" s="26">
        <v>220</v>
      </c>
      <c r="D129" s="26">
        <v>202</v>
      </c>
      <c r="E129" s="26">
        <v>14</v>
      </c>
      <c r="F129" s="26">
        <v>22</v>
      </c>
      <c r="G129" s="26">
        <v>176</v>
      </c>
      <c r="H129" s="26">
        <v>94</v>
      </c>
      <c r="I129" s="26">
        <v>13</v>
      </c>
      <c r="J129" s="26">
        <v>114.97</v>
      </c>
      <c r="K129" s="26">
        <v>90.3</v>
      </c>
      <c r="L129" s="26">
        <v>9488.15</v>
      </c>
      <c r="M129" s="26">
        <v>862.6</v>
      </c>
      <c r="N129" s="26">
        <v>500.34</v>
      </c>
      <c r="O129" s="26">
        <v>90.84</v>
      </c>
      <c r="P129" s="26">
        <v>3027.75</v>
      </c>
      <c r="Q129" s="26">
        <v>299.77999999999997</v>
      </c>
      <c r="R129" s="26">
        <v>229.45</v>
      </c>
      <c r="S129" s="26">
        <v>51.32</v>
      </c>
    </row>
    <row r="130" spans="1:19" ht="16.5" thickBot="1" x14ac:dyDescent="0.3">
      <c r="A130" s="88"/>
      <c r="B130" s="27" t="s">
        <v>170</v>
      </c>
      <c r="C130" s="26">
        <v>226</v>
      </c>
      <c r="D130" s="26">
        <v>203</v>
      </c>
      <c r="E130" s="26">
        <v>16</v>
      </c>
      <c r="F130" s="26">
        <v>25</v>
      </c>
      <c r="G130" s="26">
        <v>176</v>
      </c>
      <c r="H130" s="26">
        <v>93.5</v>
      </c>
      <c r="I130" s="26">
        <v>13</v>
      </c>
      <c r="J130" s="26">
        <v>131.11000000000001</v>
      </c>
      <c r="K130" s="26">
        <v>102.9</v>
      </c>
      <c r="L130" s="26">
        <v>11136.66</v>
      </c>
      <c r="M130" s="26">
        <v>985.6</v>
      </c>
      <c r="N130" s="26">
        <v>578.16</v>
      </c>
      <c r="O130" s="26">
        <v>92.16</v>
      </c>
      <c r="P130" s="26">
        <v>3493.41</v>
      </c>
      <c r="Q130" s="26">
        <v>344.18</v>
      </c>
      <c r="R130" s="26">
        <v>263.98</v>
      </c>
      <c r="S130" s="26">
        <v>51.62</v>
      </c>
    </row>
    <row r="131" spans="1:19" ht="16.5" thickBot="1" x14ac:dyDescent="0.3">
      <c r="A131" s="88"/>
      <c r="B131" s="27" t="s">
        <v>171</v>
      </c>
      <c r="C131" s="26">
        <v>234</v>
      </c>
      <c r="D131" s="26">
        <v>203</v>
      </c>
      <c r="E131" s="26">
        <v>18</v>
      </c>
      <c r="F131" s="26">
        <v>29</v>
      </c>
      <c r="G131" s="26">
        <v>176</v>
      </c>
      <c r="H131" s="26">
        <v>92.5</v>
      </c>
      <c r="I131" s="26">
        <v>13</v>
      </c>
      <c r="J131" s="26">
        <v>150.87</v>
      </c>
      <c r="K131" s="26">
        <v>118.4</v>
      </c>
      <c r="L131" s="26">
        <v>13375.48</v>
      </c>
      <c r="M131" s="26">
        <v>1143.2</v>
      </c>
      <c r="N131" s="26">
        <v>679.29</v>
      </c>
      <c r="O131" s="26">
        <v>94.16</v>
      </c>
      <c r="P131" s="26">
        <v>4053.98</v>
      </c>
      <c r="Q131" s="26">
        <v>399.41</v>
      </c>
      <c r="R131" s="26">
        <v>306.76</v>
      </c>
      <c r="S131" s="26">
        <v>51.84</v>
      </c>
    </row>
    <row r="132" spans="1:19" ht="16.5" thickBot="1" x14ac:dyDescent="0.3">
      <c r="A132" s="88"/>
      <c r="B132" s="27" t="s">
        <v>172</v>
      </c>
      <c r="C132" s="26">
        <v>246</v>
      </c>
      <c r="D132" s="26">
        <v>249</v>
      </c>
      <c r="E132" s="26">
        <v>8</v>
      </c>
      <c r="F132" s="26">
        <v>12</v>
      </c>
      <c r="G132" s="26">
        <v>222</v>
      </c>
      <c r="H132" s="26">
        <v>120.5</v>
      </c>
      <c r="I132" s="26">
        <v>16</v>
      </c>
      <c r="J132" s="26">
        <v>79.72</v>
      </c>
      <c r="K132" s="26">
        <v>62.6</v>
      </c>
      <c r="L132" s="26">
        <v>9170.92</v>
      </c>
      <c r="M132" s="26">
        <v>745.6</v>
      </c>
      <c r="N132" s="26">
        <v>410.68</v>
      </c>
      <c r="O132" s="26">
        <v>107.26</v>
      </c>
      <c r="P132" s="26">
        <v>3090.05</v>
      </c>
      <c r="Q132" s="26">
        <v>248.2</v>
      </c>
      <c r="R132" s="26">
        <v>188.61</v>
      </c>
      <c r="S132" s="26">
        <v>62.26</v>
      </c>
    </row>
    <row r="133" spans="1:19" ht="16.5" thickBot="1" x14ac:dyDescent="0.3">
      <c r="A133" s="88"/>
      <c r="B133" s="27" t="s">
        <v>173</v>
      </c>
      <c r="C133" s="26">
        <v>250</v>
      </c>
      <c r="D133" s="26">
        <v>250</v>
      </c>
      <c r="E133" s="26">
        <v>9</v>
      </c>
      <c r="F133" s="26">
        <v>14</v>
      </c>
      <c r="G133" s="26">
        <v>222</v>
      </c>
      <c r="H133" s="26">
        <v>120.5</v>
      </c>
      <c r="I133" s="26">
        <v>16</v>
      </c>
      <c r="J133" s="26">
        <v>92.18</v>
      </c>
      <c r="K133" s="26">
        <v>72.400000000000006</v>
      </c>
      <c r="L133" s="26">
        <v>10832.61</v>
      </c>
      <c r="M133" s="26">
        <v>866.6</v>
      </c>
      <c r="N133" s="26">
        <v>480.25</v>
      </c>
      <c r="O133" s="26">
        <v>108.41</v>
      </c>
      <c r="P133" s="26">
        <v>3648.81</v>
      </c>
      <c r="Q133" s="26">
        <v>291.89999999999998</v>
      </c>
      <c r="R133" s="26">
        <v>221.88</v>
      </c>
      <c r="S133" s="26">
        <v>62.92</v>
      </c>
    </row>
    <row r="134" spans="1:19" ht="16.5" thickBot="1" x14ac:dyDescent="0.3">
      <c r="A134" s="88"/>
      <c r="B134" s="27" t="s">
        <v>174</v>
      </c>
      <c r="C134" s="26">
        <v>253</v>
      </c>
      <c r="D134" s="26">
        <v>251</v>
      </c>
      <c r="E134" s="26">
        <v>10</v>
      </c>
      <c r="F134" s="26">
        <v>15.5</v>
      </c>
      <c r="G134" s="26">
        <v>222</v>
      </c>
      <c r="H134" s="26">
        <v>120.5</v>
      </c>
      <c r="I134" s="26">
        <v>16</v>
      </c>
      <c r="J134" s="26">
        <v>102.21</v>
      </c>
      <c r="K134" s="26">
        <v>80.2</v>
      </c>
      <c r="L134" s="26">
        <v>12153.56</v>
      </c>
      <c r="M134" s="26">
        <v>960.8</v>
      </c>
      <c r="N134" s="26">
        <v>535.41</v>
      </c>
      <c r="O134" s="26">
        <v>109.05</v>
      </c>
      <c r="P134" s="26">
        <v>4088.75</v>
      </c>
      <c r="Q134" s="26">
        <v>325.8</v>
      </c>
      <c r="R134" s="26">
        <v>247.85</v>
      </c>
      <c r="S134" s="26">
        <v>63.25</v>
      </c>
    </row>
    <row r="135" spans="1:19" ht="16.5" thickBot="1" x14ac:dyDescent="0.3">
      <c r="A135" s="88"/>
      <c r="B135" s="27" t="s">
        <v>175</v>
      </c>
      <c r="C135" s="26">
        <v>257</v>
      </c>
      <c r="D135" s="26">
        <v>252</v>
      </c>
      <c r="E135" s="26">
        <v>11</v>
      </c>
      <c r="F135" s="26">
        <v>17.5</v>
      </c>
      <c r="G135" s="26">
        <v>222</v>
      </c>
      <c r="H135" s="26">
        <v>120.5</v>
      </c>
      <c r="I135" s="26">
        <v>16</v>
      </c>
      <c r="J135" s="26">
        <v>114.82</v>
      </c>
      <c r="K135" s="26">
        <v>90.1</v>
      </c>
      <c r="L135" s="26">
        <v>13927.17</v>
      </c>
      <c r="M135" s="26">
        <v>1083.9000000000001</v>
      </c>
      <c r="N135" s="26">
        <v>607.66999999999996</v>
      </c>
      <c r="O135" s="26">
        <v>110.14</v>
      </c>
      <c r="P135" s="26">
        <v>4672.01</v>
      </c>
      <c r="Q135" s="26">
        <v>370.79</v>
      </c>
      <c r="R135" s="26">
        <v>282.18</v>
      </c>
      <c r="S135" s="26">
        <v>63.79</v>
      </c>
    </row>
    <row r="136" spans="1:19" ht="16.5" thickBot="1" x14ac:dyDescent="0.3">
      <c r="A136" s="88"/>
      <c r="B136" s="27" t="s">
        <v>176</v>
      </c>
      <c r="C136" s="26">
        <v>262</v>
      </c>
      <c r="D136" s="26">
        <v>253</v>
      </c>
      <c r="E136" s="26">
        <v>12.5</v>
      </c>
      <c r="F136" s="26">
        <v>20</v>
      </c>
      <c r="G136" s="26">
        <v>222</v>
      </c>
      <c r="H136" s="26">
        <v>120.25</v>
      </c>
      <c r="I136" s="26">
        <v>16</v>
      </c>
      <c r="J136" s="26">
        <v>131.15</v>
      </c>
      <c r="K136" s="26">
        <v>102.9</v>
      </c>
      <c r="L136" s="26">
        <v>16243.92</v>
      </c>
      <c r="M136" s="26">
        <v>1240</v>
      </c>
      <c r="N136" s="26">
        <v>701.07</v>
      </c>
      <c r="O136" s="26">
        <v>111.29</v>
      </c>
      <c r="P136" s="26">
        <v>5404.02</v>
      </c>
      <c r="Q136" s="26">
        <v>427.2</v>
      </c>
      <c r="R136" s="26">
        <v>325.45999999999998</v>
      </c>
      <c r="S136" s="26">
        <v>64.19</v>
      </c>
    </row>
    <row r="137" spans="1:19" ht="16.5" thickBot="1" x14ac:dyDescent="0.3">
      <c r="A137" s="88"/>
      <c r="B137" s="27" t="s">
        <v>177</v>
      </c>
      <c r="C137" s="26">
        <v>267</v>
      </c>
      <c r="D137" s="26">
        <v>253</v>
      </c>
      <c r="E137" s="26">
        <v>14</v>
      </c>
      <c r="F137" s="26">
        <v>22.5</v>
      </c>
      <c r="G137" s="26">
        <v>222</v>
      </c>
      <c r="H137" s="26">
        <v>119.5</v>
      </c>
      <c r="I137" s="26">
        <v>16</v>
      </c>
      <c r="J137" s="26">
        <v>147.13</v>
      </c>
      <c r="K137" s="26">
        <v>115.5</v>
      </c>
      <c r="L137" s="26">
        <v>18593.240000000002</v>
      </c>
      <c r="M137" s="26">
        <v>1392.8</v>
      </c>
      <c r="N137" s="26">
        <v>793.96</v>
      </c>
      <c r="O137" s="26">
        <v>112.42</v>
      </c>
      <c r="P137" s="26">
        <v>6080.58</v>
      </c>
      <c r="Q137" s="26">
        <v>480.68</v>
      </c>
      <c r="R137" s="26">
        <v>366.65</v>
      </c>
      <c r="S137" s="26">
        <v>64.290000000000006</v>
      </c>
    </row>
    <row r="138" spans="1:19" ht="16.5" thickBot="1" x14ac:dyDescent="0.3">
      <c r="A138" s="88"/>
      <c r="B138" s="27" t="s">
        <v>178</v>
      </c>
      <c r="C138" s="26">
        <v>274</v>
      </c>
      <c r="D138" s="26">
        <v>258</v>
      </c>
      <c r="E138" s="26">
        <v>16</v>
      </c>
      <c r="F138" s="26">
        <v>26</v>
      </c>
      <c r="G138" s="26">
        <v>222</v>
      </c>
      <c r="H138" s="26">
        <v>121</v>
      </c>
      <c r="I138" s="26">
        <v>16</v>
      </c>
      <c r="J138" s="26">
        <v>171.88</v>
      </c>
      <c r="K138" s="26">
        <v>134.9</v>
      </c>
      <c r="L138" s="26">
        <v>22416.63</v>
      </c>
      <c r="M138" s="26">
        <v>1636.3</v>
      </c>
      <c r="N138" s="26">
        <v>942.16</v>
      </c>
      <c r="O138" s="26">
        <v>114.2</v>
      </c>
      <c r="P138" s="26">
        <v>7452.57</v>
      </c>
      <c r="Q138" s="26">
        <v>577.72</v>
      </c>
      <c r="R138" s="26">
        <v>441.04</v>
      </c>
      <c r="S138" s="26">
        <v>65.849999999999994</v>
      </c>
    </row>
    <row r="139" spans="1:19" ht="16.5" thickBot="1" x14ac:dyDescent="0.3">
      <c r="A139" s="88"/>
      <c r="B139" s="27" t="s">
        <v>179</v>
      </c>
      <c r="C139" s="26">
        <v>281</v>
      </c>
      <c r="D139" s="26">
        <v>259</v>
      </c>
      <c r="E139" s="26">
        <v>18</v>
      </c>
      <c r="F139" s="26">
        <v>29.5</v>
      </c>
      <c r="G139" s="26">
        <v>222</v>
      </c>
      <c r="H139" s="26">
        <v>120.5</v>
      </c>
      <c r="I139" s="26">
        <v>16</v>
      </c>
      <c r="J139" s="26">
        <v>194.97</v>
      </c>
      <c r="K139" s="26">
        <v>153</v>
      </c>
      <c r="L139" s="26">
        <v>26169.72</v>
      </c>
      <c r="M139" s="26">
        <v>1862.6</v>
      </c>
      <c r="N139" s="26">
        <v>1083.49</v>
      </c>
      <c r="O139" s="26">
        <v>115.86</v>
      </c>
      <c r="P139" s="26">
        <v>8556.66</v>
      </c>
      <c r="Q139" s="26">
        <v>660.75</v>
      </c>
      <c r="R139" s="26">
        <v>505.09</v>
      </c>
      <c r="S139" s="26">
        <v>66.25</v>
      </c>
    </row>
    <row r="140" spans="1:19" ht="16.5" thickBot="1" x14ac:dyDescent="0.3">
      <c r="A140" s="88"/>
      <c r="B140" s="27" t="s">
        <v>180</v>
      </c>
      <c r="C140" s="26">
        <v>288</v>
      </c>
      <c r="D140" s="26">
        <v>260</v>
      </c>
      <c r="E140" s="26">
        <v>20</v>
      </c>
      <c r="F140" s="26">
        <v>33</v>
      </c>
      <c r="G140" s="26">
        <v>222</v>
      </c>
      <c r="H140" s="26">
        <v>120</v>
      </c>
      <c r="I140" s="26">
        <v>16</v>
      </c>
      <c r="J140" s="26">
        <v>218.2</v>
      </c>
      <c r="K140" s="26">
        <v>171.3</v>
      </c>
      <c r="L140" s="26">
        <v>30128.76</v>
      </c>
      <c r="M140" s="26">
        <v>2092.3000000000002</v>
      </c>
      <c r="N140" s="26">
        <v>1228.96</v>
      </c>
      <c r="O140" s="26">
        <v>117.51</v>
      </c>
      <c r="P140" s="26">
        <v>9685.84</v>
      </c>
      <c r="Q140" s="26">
        <v>745.06</v>
      </c>
      <c r="R140" s="26">
        <v>570.29</v>
      </c>
      <c r="S140" s="26">
        <v>66.63</v>
      </c>
    </row>
    <row r="141" spans="1:19" ht="16.5" thickBot="1" x14ac:dyDescent="0.3">
      <c r="A141" s="88"/>
      <c r="B141" s="27" t="s">
        <v>181</v>
      </c>
      <c r="C141" s="26">
        <v>298</v>
      </c>
      <c r="D141" s="26">
        <v>261</v>
      </c>
      <c r="E141" s="26">
        <v>23</v>
      </c>
      <c r="F141" s="26">
        <v>38</v>
      </c>
      <c r="G141" s="26">
        <v>222</v>
      </c>
      <c r="H141" s="26">
        <v>119</v>
      </c>
      <c r="I141" s="26">
        <v>16</v>
      </c>
      <c r="J141" s="26">
        <v>251.62</v>
      </c>
      <c r="K141" s="26">
        <v>197.5</v>
      </c>
      <c r="L141" s="26">
        <v>36112.370000000003</v>
      </c>
      <c r="M141" s="26">
        <v>2423.6999999999998</v>
      </c>
      <c r="N141" s="26">
        <v>1442.84</v>
      </c>
      <c r="O141" s="26">
        <v>119.8</v>
      </c>
      <c r="P141" s="26">
        <v>11288.1</v>
      </c>
      <c r="Q141" s="26">
        <v>864.99</v>
      </c>
      <c r="R141" s="26">
        <v>663.49</v>
      </c>
      <c r="S141" s="26">
        <v>66.98</v>
      </c>
    </row>
    <row r="142" spans="1:19" ht="16.5" thickBot="1" x14ac:dyDescent="0.3">
      <c r="A142" s="88"/>
      <c r="B142" s="27" t="s">
        <v>182</v>
      </c>
      <c r="C142" s="26">
        <v>298</v>
      </c>
      <c r="D142" s="26">
        <v>299</v>
      </c>
      <c r="E142" s="26">
        <v>9</v>
      </c>
      <c r="F142" s="26">
        <v>14</v>
      </c>
      <c r="G142" s="26">
        <v>270</v>
      </c>
      <c r="H142" s="26">
        <v>145</v>
      </c>
      <c r="I142" s="26">
        <v>18</v>
      </c>
      <c r="J142" s="26">
        <v>110.8</v>
      </c>
      <c r="K142" s="26">
        <v>87</v>
      </c>
      <c r="L142" s="26">
        <v>18848.66</v>
      </c>
      <c r="M142" s="26">
        <v>1265.0999999999999</v>
      </c>
      <c r="N142" s="26">
        <v>694.64</v>
      </c>
      <c r="O142" s="26">
        <v>130.43</v>
      </c>
      <c r="P142" s="26">
        <v>6241.18</v>
      </c>
      <c r="Q142" s="26">
        <v>417.47</v>
      </c>
      <c r="R142" s="26">
        <v>316.82</v>
      </c>
      <c r="S142" s="26">
        <v>75.05</v>
      </c>
    </row>
    <row r="143" spans="1:19" ht="16.5" thickBot="1" x14ac:dyDescent="0.3">
      <c r="A143" s="88"/>
      <c r="B143" s="27" t="s">
        <v>183</v>
      </c>
      <c r="C143" s="26">
        <v>300</v>
      </c>
      <c r="D143" s="26">
        <v>300</v>
      </c>
      <c r="E143" s="26">
        <v>10</v>
      </c>
      <c r="F143" s="26">
        <v>15</v>
      </c>
      <c r="G143" s="26">
        <v>270</v>
      </c>
      <c r="H143" s="26">
        <v>145</v>
      </c>
      <c r="I143" s="26">
        <v>18</v>
      </c>
      <c r="J143" s="26">
        <v>119.78</v>
      </c>
      <c r="K143" s="26">
        <v>94</v>
      </c>
      <c r="L143" s="26">
        <v>20410.21</v>
      </c>
      <c r="M143" s="26">
        <v>1360.7</v>
      </c>
      <c r="N143" s="26">
        <v>750.59</v>
      </c>
      <c r="O143" s="26">
        <v>130.54</v>
      </c>
      <c r="P143" s="26">
        <v>6754.82</v>
      </c>
      <c r="Q143" s="26">
        <v>450.32</v>
      </c>
      <c r="R143" s="26">
        <v>342.13</v>
      </c>
      <c r="S143" s="26">
        <v>75.099999999999994</v>
      </c>
    </row>
    <row r="144" spans="1:19" ht="16.5" thickBot="1" x14ac:dyDescent="0.3">
      <c r="A144" s="88"/>
      <c r="B144" s="27" t="s">
        <v>184</v>
      </c>
      <c r="C144" s="26">
        <v>300</v>
      </c>
      <c r="D144" s="26">
        <v>305</v>
      </c>
      <c r="E144" s="26">
        <v>15</v>
      </c>
      <c r="F144" s="26">
        <v>15</v>
      </c>
      <c r="G144" s="26">
        <v>270</v>
      </c>
      <c r="H144" s="26">
        <v>145</v>
      </c>
      <c r="I144" s="26">
        <v>18</v>
      </c>
      <c r="J144" s="26">
        <v>134.78</v>
      </c>
      <c r="K144" s="26">
        <v>105.8</v>
      </c>
      <c r="L144" s="26">
        <v>21535.21</v>
      </c>
      <c r="M144" s="26">
        <v>1435.7</v>
      </c>
      <c r="N144" s="26">
        <v>806.84</v>
      </c>
      <c r="O144" s="26">
        <v>126.4</v>
      </c>
      <c r="P144" s="26">
        <v>7104.75</v>
      </c>
      <c r="Q144" s="26">
        <v>465.89</v>
      </c>
      <c r="R144" s="26">
        <v>358.04</v>
      </c>
      <c r="S144" s="26">
        <v>72.599999999999994</v>
      </c>
    </row>
    <row r="145" spans="1:19" ht="16.5" thickBot="1" x14ac:dyDescent="0.3">
      <c r="A145" s="88"/>
      <c r="B145" s="27" t="s">
        <v>185</v>
      </c>
      <c r="C145" s="26">
        <v>304</v>
      </c>
      <c r="D145" s="26">
        <v>301</v>
      </c>
      <c r="E145" s="26">
        <v>11</v>
      </c>
      <c r="F145" s="26">
        <v>17</v>
      </c>
      <c r="G145" s="26">
        <v>270</v>
      </c>
      <c r="H145" s="26">
        <v>145</v>
      </c>
      <c r="I145" s="26">
        <v>18</v>
      </c>
      <c r="J145" s="26">
        <v>134.82</v>
      </c>
      <c r="K145" s="26">
        <v>105.8</v>
      </c>
      <c r="L145" s="26">
        <v>23380.49</v>
      </c>
      <c r="M145" s="26">
        <v>1538.2</v>
      </c>
      <c r="N145" s="26">
        <v>852.74</v>
      </c>
      <c r="O145" s="26">
        <v>131.69</v>
      </c>
      <c r="P145" s="26">
        <v>7732.58</v>
      </c>
      <c r="Q145" s="26">
        <v>513.79</v>
      </c>
      <c r="R145" s="26">
        <v>390.46</v>
      </c>
      <c r="S145" s="26">
        <v>75.73</v>
      </c>
    </row>
    <row r="146" spans="1:19" ht="16.5" thickBot="1" x14ac:dyDescent="0.3">
      <c r="A146" s="88"/>
      <c r="B146" s="27" t="s">
        <v>186</v>
      </c>
      <c r="C146" s="26">
        <v>308</v>
      </c>
      <c r="D146" s="26">
        <v>301</v>
      </c>
      <c r="E146" s="26">
        <v>12</v>
      </c>
      <c r="F146" s="26">
        <v>19</v>
      </c>
      <c r="G146" s="26">
        <v>270</v>
      </c>
      <c r="H146" s="26">
        <v>144.5</v>
      </c>
      <c r="I146" s="26">
        <v>18</v>
      </c>
      <c r="J146" s="26">
        <v>149.56</v>
      </c>
      <c r="K146" s="26">
        <v>117.4</v>
      </c>
      <c r="L146" s="26">
        <v>26363</v>
      </c>
      <c r="M146" s="26">
        <v>1711.9</v>
      </c>
      <c r="N146" s="26">
        <v>953.96</v>
      </c>
      <c r="O146" s="26">
        <v>132.77000000000001</v>
      </c>
      <c r="P146" s="26">
        <v>8642.7800000000007</v>
      </c>
      <c r="Q146" s="26">
        <v>574.27</v>
      </c>
      <c r="R146" s="26">
        <v>436.61</v>
      </c>
      <c r="S146" s="26">
        <v>76.02</v>
      </c>
    </row>
    <row r="147" spans="1:19" ht="16.5" thickBot="1" x14ac:dyDescent="0.3">
      <c r="A147" s="88"/>
      <c r="B147" s="27" t="s">
        <v>187</v>
      </c>
      <c r="C147" s="26">
        <v>312</v>
      </c>
      <c r="D147" s="26">
        <v>302</v>
      </c>
      <c r="E147" s="26">
        <v>13</v>
      </c>
      <c r="F147" s="26">
        <v>21</v>
      </c>
      <c r="G147" s="26">
        <v>270</v>
      </c>
      <c r="H147" s="26">
        <v>144.5</v>
      </c>
      <c r="I147" s="26">
        <v>18</v>
      </c>
      <c r="J147" s="26">
        <v>164.72</v>
      </c>
      <c r="K147" s="26">
        <v>129.30000000000001</v>
      </c>
      <c r="L147" s="26">
        <v>29508.74</v>
      </c>
      <c r="M147" s="26">
        <v>1891.6</v>
      </c>
      <c r="N147" s="26">
        <v>1059.44</v>
      </c>
      <c r="O147" s="26">
        <v>133.84</v>
      </c>
      <c r="P147" s="26">
        <v>9648.6</v>
      </c>
      <c r="Q147" s="26">
        <v>638.98</v>
      </c>
      <c r="R147" s="26">
        <v>485.99</v>
      </c>
      <c r="S147" s="26">
        <v>76.53</v>
      </c>
    </row>
    <row r="148" spans="1:19" ht="16.5" thickBot="1" x14ac:dyDescent="0.3">
      <c r="A148" s="88"/>
      <c r="B148" s="27" t="s">
        <v>188</v>
      </c>
      <c r="C148" s="26">
        <v>316</v>
      </c>
      <c r="D148" s="26">
        <v>302</v>
      </c>
      <c r="E148" s="26">
        <v>14.5</v>
      </c>
      <c r="F148" s="26">
        <v>23</v>
      </c>
      <c r="G148" s="26">
        <v>270</v>
      </c>
      <c r="H148" s="26">
        <v>143.75</v>
      </c>
      <c r="I148" s="26">
        <v>18</v>
      </c>
      <c r="J148" s="26">
        <v>180.85</v>
      </c>
      <c r="K148" s="26">
        <v>142</v>
      </c>
      <c r="L148" s="26">
        <v>32732.42</v>
      </c>
      <c r="M148" s="26">
        <v>2071.6999999999998</v>
      </c>
      <c r="N148" s="26">
        <v>1167.93</v>
      </c>
      <c r="O148" s="26">
        <v>134.53</v>
      </c>
      <c r="P148" s="26">
        <v>10569.09</v>
      </c>
      <c r="Q148" s="26">
        <v>699.94</v>
      </c>
      <c r="R148" s="26">
        <v>533.09</v>
      </c>
      <c r="S148" s="26">
        <v>76.45</v>
      </c>
    </row>
    <row r="149" spans="1:19" ht="16.5" thickBot="1" x14ac:dyDescent="0.3">
      <c r="A149" s="88"/>
      <c r="B149" s="27" t="s">
        <v>189</v>
      </c>
      <c r="C149" s="26">
        <v>316</v>
      </c>
      <c r="D149" s="26">
        <v>357</v>
      </c>
      <c r="E149" s="26">
        <v>14.5</v>
      </c>
      <c r="F149" s="26">
        <v>23</v>
      </c>
      <c r="G149" s="26">
        <v>270</v>
      </c>
      <c r="H149" s="26">
        <v>171.25</v>
      </c>
      <c r="I149" s="26">
        <v>18</v>
      </c>
      <c r="J149" s="26">
        <v>206.15</v>
      </c>
      <c r="K149" s="26">
        <v>161.80000000000001</v>
      </c>
      <c r="L149" s="26">
        <v>38173.519999999997</v>
      </c>
      <c r="M149" s="26">
        <v>2416.1</v>
      </c>
      <c r="N149" s="26">
        <v>1353.26</v>
      </c>
      <c r="O149" s="26">
        <v>136.08000000000001</v>
      </c>
      <c r="P149" s="26">
        <v>17452.099999999999</v>
      </c>
      <c r="Q149" s="26">
        <v>977.71</v>
      </c>
      <c r="R149" s="26">
        <v>741.49</v>
      </c>
      <c r="S149" s="26">
        <v>92.01</v>
      </c>
    </row>
    <row r="150" spans="1:19" ht="16.5" thickBot="1" x14ac:dyDescent="0.3">
      <c r="A150" s="88"/>
      <c r="B150" s="27" t="s">
        <v>190</v>
      </c>
      <c r="C150" s="26">
        <v>322</v>
      </c>
      <c r="D150" s="26">
        <v>358</v>
      </c>
      <c r="E150" s="26">
        <v>16</v>
      </c>
      <c r="F150" s="26">
        <v>26</v>
      </c>
      <c r="G150" s="26">
        <v>270</v>
      </c>
      <c r="H150" s="26">
        <v>171</v>
      </c>
      <c r="I150" s="26">
        <v>18</v>
      </c>
      <c r="J150" s="26">
        <v>232.14</v>
      </c>
      <c r="K150" s="26">
        <v>182.2</v>
      </c>
      <c r="L150" s="26">
        <v>43983.22</v>
      </c>
      <c r="M150" s="26">
        <v>2731.9</v>
      </c>
      <c r="N150" s="26">
        <v>1541.6</v>
      </c>
      <c r="O150" s="26">
        <v>137.65</v>
      </c>
      <c r="P150" s="26">
        <v>19896.05</v>
      </c>
      <c r="Q150" s="26">
        <v>1111.51</v>
      </c>
      <c r="R150" s="26">
        <v>843.38</v>
      </c>
      <c r="S150" s="26">
        <v>92.58</v>
      </c>
    </row>
    <row r="151" spans="1:19" ht="16.5" thickBot="1" x14ac:dyDescent="0.3">
      <c r="A151" s="88"/>
      <c r="B151" s="27" t="s">
        <v>191</v>
      </c>
      <c r="C151" s="26">
        <v>328</v>
      </c>
      <c r="D151" s="26">
        <v>359</v>
      </c>
      <c r="E151" s="26">
        <v>18</v>
      </c>
      <c r="F151" s="26">
        <v>29</v>
      </c>
      <c r="G151" s="26">
        <v>270</v>
      </c>
      <c r="H151" s="26">
        <v>170.5</v>
      </c>
      <c r="I151" s="26">
        <v>18</v>
      </c>
      <c r="J151" s="26">
        <v>259.60000000000002</v>
      </c>
      <c r="K151" s="26">
        <v>203.8</v>
      </c>
      <c r="L151" s="26">
        <v>50113.53</v>
      </c>
      <c r="M151" s="26">
        <v>3055.7</v>
      </c>
      <c r="N151" s="26">
        <v>1738.68</v>
      </c>
      <c r="O151" s="26">
        <v>138.94</v>
      </c>
      <c r="P151" s="26">
        <v>22381.15</v>
      </c>
      <c r="Q151" s="26">
        <v>1246.8599999999999</v>
      </c>
      <c r="R151" s="26">
        <v>947.13</v>
      </c>
      <c r="S151" s="26">
        <v>92.85</v>
      </c>
    </row>
    <row r="152" spans="1:19" ht="16.5" thickBot="1" x14ac:dyDescent="0.3">
      <c r="A152" s="88"/>
      <c r="B152" s="27" t="s">
        <v>192</v>
      </c>
      <c r="C152" s="26">
        <v>334</v>
      </c>
      <c r="D152" s="26">
        <v>360</v>
      </c>
      <c r="E152" s="26">
        <v>20</v>
      </c>
      <c r="F152" s="26">
        <v>32</v>
      </c>
      <c r="G152" s="26">
        <v>270</v>
      </c>
      <c r="H152" s="26">
        <v>170</v>
      </c>
      <c r="I152" s="26">
        <v>18</v>
      </c>
      <c r="J152" s="26">
        <v>287.18</v>
      </c>
      <c r="K152" s="26">
        <v>225.4</v>
      </c>
      <c r="L152" s="26">
        <v>56488.07</v>
      </c>
      <c r="M152" s="26">
        <v>3382.6</v>
      </c>
      <c r="N152" s="26">
        <v>1939.98</v>
      </c>
      <c r="O152" s="26">
        <v>140.25</v>
      </c>
      <c r="P152" s="26">
        <v>24906.98</v>
      </c>
      <c r="Q152" s="26">
        <v>1383.72</v>
      </c>
      <c r="R152" s="26">
        <v>1052.25</v>
      </c>
      <c r="S152" s="26">
        <v>93.13</v>
      </c>
    </row>
    <row r="153" spans="1:19" ht="16.5" thickBot="1" x14ac:dyDescent="0.3">
      <c r="A153" s="88"/>
      <c r="B153" s="27" t="s">
        <v>193</v>
      </c>
      <c r="C153" s="26">
        <v>341</v>
      </c>
      <c r="D153" s="26">
        <v>361</v>
      </c>
      <c r="E153" s="26">
        <v>22</v>
      </c>
      <c r="F153" s="26">
        <v>35.5</v>
      </c>
      <c r="G153" s="26">
        <v>270</v>
      </c>
      <c r="H153" s="26">
        <v>169.5</v>
      </c>
      <c r="I153" s="26">
        <v>18</v>
      </c>
      <c r="J153" s="26">
        <v>318.49</v>
      </c>
      <c r="K153" s="26">
        <v>250</v>
      </c>
      <c r="L153" s="26">
        <v>64158.879999999997</v>
      </c>
      <c r="M153" s="26">
        <v>3763</v>
      </c>
      <c r="N153" s="26">
        <v>2176.2600000000002</v>
      </c>
      <c r="O153" s="26">
        <v>141.93</v>
      </c>
      <c r="P153" s="26">
        <v>27866.02</v>
      </c>
      <c r="Q153" s="26">
        <v>1543.82</v>
      </c>
      <c r="R153" s="26">
        <v>1175.02</v>
      </c>
      <c r="S153" s="26">
        <v>93.54</v>
      </c>
    </row>
    <row r="154" spans="1:19" ht="16.5" thickBot="1" x14ac:dyDescent="0.3">
      <c r="A154" s="88"/>
      <c r="B154" s="27" t="s">
        <v>194</v>
      </c>
      <c r="C154" s="26">
        <v>350</v>
      </c>
      <c r="D154" s="26">
        <v>362</v>
      </c>
      <c r="E154" s="26">
        <v>24</v>
      </c>
      <c r="F154" s="26">
        <v>40</v>
      </c>
      <c r="G154" s="26">
        <v>270</v>
      </c>
      <c r="H154" s="26">
        <v>169</v>
      </c>
      <c r="I154" s="26">
        <v>18</v>
      </c>
      <c r="J154" s="26">
        <v>357.18</v>
      </c>
      <c r="K154" s="26">
        <v>280.39999999999998</v>
      </c>
      <c r="L154" s="26">
        <v>74376.59</v>
      </c>
      <c r="M154" s="26">
        <v>4250.1000000000004</v>
      </c>
      <c r="N154" s="26">
        <v>2481.31</v>
      </c>
      <c r="O154" s="26">
        <v>144.30000000000001</v>
      </c>
      <c r="P154" s="26">
        <v>31663.84</v>
      </c>
      <c r="Q154" s="26">
        <v>1749.38</v>
      </c>
      <c r="R154" s="26">
        <v>1332.11</v>
      </c>
      <c r="S154" s="26">
        <v>94.15</v>
      </c>
    </row>
    <row r="155" spans="1:19" ht="16.5" thickBot="1" x14ac:dyDescent="0.3">
      <c r="A155" s="88"/>
      <c r="B155" s="27" t="s">
        <v>195</v>
      </c>
      <c r="C155" s="26">
        <v>356</v>
      </c>
      <c r="D155" s="26">
        <v>371</v>
      </c>
      <c r="E155" s="26">
        <v>27</v>
      </c>
      <c r="F155" s="26">
        <v>43</v>
      </c>
      <c r="G155" s="26">
        <v>270</v>
      </c>
      <c r="H155" s="26">
        <v>172</v>
      </c>
      <c r="I155" s="26">
        <v>18</v>
      </c>
      <c r="J155" s="26">
        <v>394.74</v>
      </c>
      <c r="K155" s="26">
        <v>310</v>
      </c>
      <c r="L155" s="26">
        <v>83542.73</v>
      </c>
      <c r="M155" s="26">
        <v>4693.3999999999996</v>
      </c>
      <c r="N155" s="26">
        <v>2760.9</v>
      </c>
      <c r="O155" s="26">
        <v>145.47999999999999</v>
      </c>
      <c r="P155" s="26">
        <v>36649.58</v>
      </c>
      <c r="Q155" s="26">
        <v>1975.72</v>
      </c>
      <c r="R155" s="26">
        <v>1506.68</v>
      </c>
      <c r="S155" s="26">
        <v>96.36</v>
      </c>
    </row>
    <row r="156" spans="1:19" ht="16.5" thickBot="1" x14ac:dyDescent="0.3">
      <c r="A156" s="88"/>
      <c r="B156" s="27" t="s">
        <v>196</v>
      </c>
      <c r="C156" s="26">
        <v>364</v>
      </c>
      <c r="D156" s="26">
        <v>372</v>
      </c>
      <c r="E156" s="26">
        <v>30</v>
      </c>
      <c r="F156" s="26">
        <v>47</v>
      </c>
      <c r="G156" s="26">
        <v>270</v>
      </c>
      <c r="H156" s="26">
        <v>171</v>
      </c>
      <c r="I156" s="26">
        <v>18</v>
      </c>
      <c r="J156" s="26">
        <v>433.46</v>
      </c>
      <c r="K156" s="26">
        <v>340</v>
      </c>
      <c r="L156" s="26">
        <v>93889.4</v>
      </c>
      <c r="M156" s="26">
        <v>5158.8</v>
      </c>
      <c r="N156" s="26">
        <v>3062.8</v>
      </c>
      <c r="O156" s="26">
        <v>147.16999999999999</v>
      </c>
      <c r="P156" s="26">
        <v>40396.22</v>
      </c>
      <c r="Q156" s="26">
        <v>2171.84</v>
      </c>
      <c r="R156" s="26">
        <v>1659.03</v>
      </c>
      <c r="S156" s="26">
        <v>96.54</v>
      </c>
    </row>
    <row r="157" spans="1:19" ht="16.5" thickBot="1" x14ac:dyDescent="0.3">
      <c r="A157" s="88"/>
      <c r="B157" s="27" t="s">
        <v>197</v>
      </c>
      <c r="C157" s="26">
        <v>374</v>
      </c>
      <c r="D157" s="26">
        <v>373</v>
      </c>
      <c r="E157" s="26">
        <v>33</v>
      </c>
      <c r="F157" s="26">
        <v>52</v>
      </c>
      <c r="G157" s="26">
        <v>270</v>
      </c>
      <c r="H157" s="26">
        <v>170</v>
      </c>
      <c r="I157" s="26">
        <v>18</v>
      </c>
      <c r="J157" s="26">
        <v>479.8</v>
      </c>
      <c r="K157" s="26">
        <v>377</v>
      </c>
      <c r="L157" s="26">
        <v>107317.14</v>
      </c>
      <c r="M157" s="26">
        <v>5738.9</v>
      </c>
      <c r="N157" s="26">
        <v>3441.68</v>
      </c>
      <c r="O157" s="26">
        <v>149.56</v>
      </c>
      <c r="P157" s="26">
        <v>45068.65</v>
      </c>
      <c r="Q157" s="26">
        <v>2416.5500000000002</v>
      </c>
      <c r="R157" s="26">
        <v>1848.28</v>
      </c>
      <c r="S157" s="26">
        <v>96.92</v>
      </c>
    </row>
    <row r="158" spans="1:19" ht="16.5" thickBot="1" x14ac:dyDescent="0.3">
      <c r="A158" s="88"/>
      <c r="B158" s="27" t="s">
        <v>198</v>
      </c>
      <c r="C158" s="26">
        <v>384</v>
      </c>
      <c r="D158" s="26">
        <v>374</v>
      </c>
      <c r="E158" s="26">
        <v>36</v>
      </c>
      <c r="F158" s="26">
        <v>57</v>
      </c>
      <c r="G158" s="26">
        <v>270</v>
      </c>
      <c r="H158" s="26">
        <v>169</v>
      </c>
      <c r="I158" s="26">
        <v>18</v>
      </c>
      <c r="J158" s="26">
        <v>526.34</v>
      </c>
      <c r="K158" s="26">
        <v>413</v>
      </c>
      <c r="L158" s="26">
        <v>121512.35</v>
      </c>
      <c r="M158" s="26">
        <v>6328.8</v>
      </c>
      <c r="N158" s="26">
        <v>3831.76</v>
      </c>
      <c r="O158" s="26">
        <v>151.94</v>
      </c>
      <c r="P158" s="26">
        <v>49816.72</v>
      </c>
      <c r="Q158" s="26">
        <v>2664</v>
      </c>
      <c r="R158" s="26">
        <v>2040.04</v>
      </c>
      <c r="S158" s="26">
        <v>97.29</v>
      </c>
    </row>
    <row r="159" spans="1:19" ht="16.5" thickBot="1" x14ac:dyDescent="0.3">
      <c r="A159" s="88"/>
      <c r="B159" s="27" t="s">
        <v>199</v>
      </c>
      <c r="C159" s="26">
        <v>396</v>
      </c>
      <c r="D159" s="26">
        <v>375</v>
      </c>
      <c r="E159" s="26">
        <v>39</v>
      </c>
      <c r="F159" s="26">
        <v>63</v>
      </c>
      <c r="G159" s="26">
        <v>270</v>
      </c>
      <c r="H159" s="26">
        <v>168</v>
      </c>
      <c r="I159" s="26">
        <v>18</v>
      </c>
      <c r="J159" s="26">
        <v>580.58000000000004</v>
      </c>
      <c r="K159" s="26">
        <v>456</v>
      </c>
      <c r="L159" s="26">
        <v>139424.85999999999</v>
      </c>
      <c r="M159" s="26">
        <v>7041.7</v>
      </c>
      <c r="N159" s="26">
        <v>4307.16</v>
      </c>
      <c r="O159" s="26">
        <v>154.97</v>
      </c>
      <c r="P159" s="26">
        <v>55520.26</v>
      </c>
      <c r="Q159" s="26">
        <v>2961.08</v>
      </c>
      <c r="R159" s="26">
        <v>2269.4499999999998</v>
      </c>
      <c r="S159" s="26">
        <v>97.79</v>
      </c>
    </row>
    <row r="160" spans="1:19" ht="16.5" thickBot="1" x14ac:dyDescent="0.3">
      <c r="A160" s="88"/>
      <c r="B160" s="27" t="s">
        <v>200</v>
      </c>
      <c r="C160" s="26">
        <v>408</v>
      </c>
      <c r="D160" s="26">
        <v>385</v>
      </c>
      <c r="E160" s="26">
        <v>43</v>
      </c>
      <c r="F160" s="26">
        <v>69</v>
      </c>
      <c r="G160" s="26">
        <v>270</v>
      </c>
      <c r="H160" s="26">
        <v>171</v>
      </c>
      <c r="I160" s="26">
        <v>18</v>
      </c>
      <c r="J160" s="26">
        <v>650.17999999999995</v>
      </c>
      <c r="K160" s="26">
        <v>510</v>
      </c>
      <c r="L160" s="26">
        <v>162282.29</v>
      </c>
      <c r="M160" s="26">
        <v>7955</v>
      </c>
      <c r="N160" s="26">
        <v>4912.82</v>
      </c>
      <c r="O160" s="26">
        <v>157.99</v>
      </c>
      <c r="P160" s="26">
        <v>65823.929999999993</v>
      </c>
      <c r="Q160" s="26">
        <v>3419.43</v>
      </c>
      <c r="R160" s="26">
        <v>2622.83</v>
      </c>
      <c r="S160" s="26">
        <v>100.62</v>
      </c>
    </row>
    <row r="161" spans="1:19" ht="16.5" thickBot="1" x14ac:dyDescent="0.3">
      <c r="A161" s="88"/>
      <c r="B161" s="27" t="s">
        <v>201</v>
      </c>
      <c r="C161" s="26">
        <v>422</v>
      </c>
      <c r="D161" s="26">
        <v>387</v>
      </c>
      <c r="E161" s="26">
        <v>47</v>
      </c>
      <c r="F161" s="26">
        <v>76</v>
      </c>
      <c r="G161" s="26">
        <v>270</v>
      </c>
      <c r="H161" s="26">
        <v>170</v>
      </c>
      <c r="I161" s="26">
        <v>18</v>
      </c>
      <c r="J161" s="26">
        <v>717.92</v>
      </c>
      <c r="K161" s="26">
        <v>564</v>
      </c>
      <c r="L161" s="26">
        <v>187072.38</v>
      </c>
      <c r="M161" s="26">
        <v>8866</v>
      </c>
      <c r="N161" s="26">
        <v>5534.78</v>
      </c>
      <c r="O161" s="26">
        <v>161.41999999999999</v>
      </c>
      <c r="P161" s="26">
        <v>73671.740000000005</v>
      </c>
      <c r="Q161" s="26">
        <v>3807.33</v>
      </c>
      <c r="R161" s="26">
        <v>2923.99</v>
      </c>
      <c r="S161" s="26">
        <v>101.3</v>
      </c>
    </row>
    <row r="162" spans="1:19" ht="16.5" thickBot="1" x14ac:dyDescent="0.3">
      <c r="A162" s="88"/>
      <c r="B162" s="27" t="s">
        <v>202</v>
      </c>
      <c r="C162" s="26">
        <v>440</v>
      </c>
      <c r="D162" s="26">
        <v>389</v>
      </c>
      <c r="E162" s="26">
        <v>52</v>
      </c>
      <c r="F162" s="26">
        <v>85</v>
      </c>
      <c r="G162" s="26">
        <v>270</v>
      </c>
      <c r="H162" s="26">
        <v>168.5</v>
      </c>
      <c r="I162" s="26">
        <v>18</v>
      </c>
      <c r="J162" s="26">
        <v>804.48</v>
      </c>
      <c r="K162" s="26">
        <v>632</v>
      </c>
      <c r="L162" s="26">
        <v>221339.17</v>
      </c>
      <c r="M162" s="26">
        <v>10060.9</v>
      </c>
      <c r="N162" s="26">
        <v>6361.1</v>
      </c>
      <c r="O162" s="26">
        <v>165.87</v>
      </c>
      <c r="P162" s="26">
        <v>83732.22</v>
      </c>
      <c r="Q162" s="26">
        <v>4305</v>
      </c>
      <c r="R162" s="26">
        <v>3311.01</v>
      </c>
      <c r="S162" s="26">
        <v>102.02</v>
      </c>
    </row>
    <row r="163" spans="1:19" ht="16.5" thickBot="1" x14ac:dyDescent="0.3">
      <c r="A163" s="88"/>
      <c r="B163" s="27" t="s">
        <v>203</v>
      </c>
      <c r="C163" s="26">
        <v>342</v>
      </c>
      <c r="D163" s="26">
        <v>348</v>
      </c>
      <c r="E163" s="26">
        <v>10</v>
      </c>
      <c r="F163" s="26">
        <v>15</v>
      </c>
      <c r="G163" s="26">
        <v>312</v>
      </c>
      <c r="H163" s="26">
        <v>169</v>
      </c>
      <c r="I163" s="26">
        <v>20</v>
      </c>
      <c r="J163" s="26">
        <v>139.03</v>
      </c>
      <c r="K163" s="26">
        <v>109.1</v>
      </c>
      <c r="L163" s="26">
        <v>31247.91</v>
      </c>
      <c r="M163" s="26">
        <v>1827.4</v>
      </c>
      <c r="N163" s="26">
        <v>1001.17</v>
      </c>
      <c r="O163" s="26">
        <v>149.91999999999999</v>
      </c>
      <c r="P163" s="26">
        <v>10542.2</v>
      </c>
      <c r="Q163" s="26">
        <v>605.87</v>
      </c>
      <c r="R163" s="26">
        <v>459.67</v>
      </c>
      <c r="S163" s="26">
        <v>87.08</v>
      </c>
    </row>
    <row r="164" spans="1:19" ht="16.5" thickBot="1" x14ac:dyDescent="0.3">
      <c r="A164" s="88"/>
      <c r="B164" s="27" t="s">
        <v>204</v>
      </c>
      <c r="C164" s="26">
        <v>346</v>
      </c>
      <c r="D164" s="26">
        <v>349</v>
      </c>
      <c r="E164" s="26">
        <v>11</v>
      </c>
      <c r="F164" s="26">
        <v>17</v>
      </c>
      <c r="G164" s="26">
        <v>312</v>
      </c>
      <c r="H164" s="26">
        <v>169</v>
      </c>
      <c r="I164" s="26">
        <v>20</v>
      </c>
      <c r="J164" s="26">
        <v>156.41</v>
      </c>
      <c r="K164" s="26">
        <v>122.8</v>
      </c>
      <c r="L164" s="26">
        <v>35711.24</v>
      </c>
      <c r="M164" s="26">
        <v>2064.3000000000002</v>
      </c>
      <c r="N164" s="26">
        <v>1135.8399999999999</v>
      </c>
      <c r="O164" s="26">
        <v>151.1</v>
      </c>
      <c r="P164" s="26">
        <v>12051.43</v>
      </c>
      <c r="Q164" s="26">
        <v>690.63</v>
      </c>
      <c r="R164" s="26">
        <v>524.08000000000004</v>
      </c>
      <c r="S164" s="26">
        <v>87.78</v>
      </c>
    </row>
    <row r="165" spans="1:19" ht="16.5" thickBot="1" x14ac:dyDescent="0.3">
      <c r="A165" s="88"/>
      <c r="B165" s="27" t="s">
        <v>205</v>
      </c>
      <c r="C165" s="26">
        <v>350</v>
      </c>
      <c r="D165" s="26">
        <v>350</v>
      </c>
      <c r="E165" s="26">
        <v>12</v>
      </c>
      <c r="F165" s="26">
        <v>19</v>
      </c>
      <c r="G165" s="26">
        <v>312</v>
      </c>
      <c r="H165" s="26">
        <v>169</v>
      </c>
      <c r="I165" s="26">
        <v>20</v>
      </c>
      <c r="J165" s="26">
        <v>173.87</v>
      </c>
      <c r="K165" s="26">
        <v>136.5</v>
      </c>
      <c r="L165" s="26">
        <v>40295.1</v>
      </c>
      <c r="M165" s="26">
        <v>2302.6</v>
      </c>
      <c r="N165" s="26">
        <v>1272.6099999999999</v>
      </c>
      <c r="O165" s="26">
        <v>152.22999999999999</v>
      </c>
      <c r="P165" s="26">
        <v>13585.81</v>
      </c>
      <c r="Q165" s="26">
        <v>776.33</v>
      </c>
      <c r="R165" s="26">
        <v>589.29</v>
      </c>
      <c r="S165" s="26">
        <v>88.39</v>
      </c>
    </row>
    <row r="166" spans="1:19" ht="16.5" thickBot="1" x14ac:dyDescent="0.3">
      <c r="A166" s="88"/>
      <c r="B166" s="27" t="s">
        <v>206</v>
      </c>
      <c r="C166" s="26">
        <v>355</v>
      </c>
      <c r="D166" s="26">
        <v>351</v>
      </c>
      <c r="E166" s="26">
        <v>13.5</v>
      </c>
      <c r="F166" s="26">
        <v>21.5</v>
      </c>
      <c r="G166" s="26">
        <v>312</v>
      </c>
      <c r="H166" s="26">
        <v>168.75</v>
      </c>
      <c r="I166" s="26">
        <v>20</v>
      </c>
      <c r="J166" s="26">
        <v>196.48</v>
      </c>
      <c r="K166" s="26">
        <v>154.19999999999999</v>
      </c>
      <c r="L166" s="26">
        <v>46230.78</v>
      </c>
      <c r="M166" s="26">
        <v>2604.6</v>
      </c>
      <c r="N166" s="26">
        <v>1448.66</v>
      </c>
      <c r="O166" s="26">
        <v>153.38999999999999</v>
      </c>
      <c r="P166" s="26">
        <v>15506.8</v>
      </c>
      <c r="Q166" s="26">
        <v>883.58</v>
      </c>
      <c r="R166" s="26">
        <v>671.24</v>
      </c>
      <c r="S166" s="26">
        <v>88.84</v>
      </c>
    </row>
    <row r="167" spans="1:19" ht="16.5" thickBot="1" x14ac:dyDescent="0.3">
      <c r="A167" s="88"/>
      <c r="B167" s="27" t="s">
        <v>207</v>
      </c>
      <c r="C167" s="26">
        <v>360</v>
      </c>
      <c r="D167" s="26">
        <v>352</v>
      </c>
      <c r="E167" s="26">
        <v>15</v>
      </c>
      <c r="F167" s="26">
        <v>24</v>
      </c>
      <c r="G167" s="26">
        <v>312</v>
      </c>
      <c r="H167" s="26">
        <v>168.5</v>
      </c>
      <c r="I167" s="26">
        <v>20</v>
      </c>
      <c r="J167" s="26">
        <v>219.19</v>
      </c>
      <c r="K167" s="26">
        <v>172.1</v>
      </c>
      <c r="L167" s="26">
        <v>52353.71</v>
      </c>
      <c r="M167" s="26">
        <v>2908.6</v>
      </c>
      <c r="N167" s="26">
        <v>1627.8</v>
      </c>
      <c r="O167" s="26">
        <v>154.55000000000001</v>
      </c>
      <c r="P167" s="26">
        <v>17459.849999999999</v>
      </c>
      <c r="Q167" s="26">
        <v>992.04</v>
      </c>
      <c r="R167" s="26">
        <v>754.25</v>
      </c>
      <c r="S167" s="26">
        <v>89.25</v>
      </c>
    </row>
    <row r="168" spans="1:19" ht="16.5" thickBot="1" x14ac:dyDescent="0.3">
      <c r="A168" s="88"/>
      <c r="B168" s="27" t="s">
        <v>208</v>
      </c>
      <c r="C168" s="26">
        <v>365</v>
      </c>
      <c r="D168" s="26">
        <v>353</v>
      </c>
      <c r="E168" s="26">
        <v>16.5</v>
      </c>
      <c r="F168" s="26">
        <v>26.5</v>
      </c>
      <c r="G168" s="26">
        <v>312</v>
      </c>
      <c r="H168" s="26">
        <v>168.25</v>
      </c>
      <c r="I168" s="26">
        <v>20</v>
      </c>
      <c r="J168" s="26">
        <v>242</v>
      </c>
      <c r="K168" s="26">
        <v>190</v>
      </c>
      <c r="L168" s="26">
        <v>58667.45</v>
      </c>
      <c r="M168" s="26">
        <v>3214.7</v>
      </c>
      <c r="N168" s="26">
        <v>1810.04</v>
      </c>
      <c r="O168" s="26">
        <v>155.69999999999999</v>
      </c>
      <c r="P168" s="26">
        <v>19445.29</v>
      </c>
      <c r="Q168" s="26">
        <v>1101.72</v>
      </c>
      <c r="R168" s="26">
        <v>838.34</v>
      </c>
      <c r="S168" s="26">
        <v>89.64</v>
      </c>
    </row>
    <row r="169" spans="1:19" ht="16.5" thickBot="1" x14ac:dyDescent="0.3">
      <c r="A169" s="88"/>
      <c r="B169" s="27" t="s">
        <v>209</v>
      </c>
      <c r="C169" s="26">
        <v>369</v>
      </c>
      <c r="D169" s="26">
        <v>360</v>
      </c>
      <c r="E169" s="26">
        <v>18</v>
      </c>
      <c r="F169" s="26">
        <v>28.5</v>
      </c>
      <c r="G169" s="26">
        <v>312</v>
      </c>
      <c r="H169" s="26">
        <v>171</v>
      </c>
      <c r="I169" s="26">
        <v>20</v>
      </c>
      <c r="J169" s="26">
        <v>264.79000000000002</v>
      </c>
      <c r="K169" s="26">
        <v>207.9</v>
      </c>
      <c r="L169" s="26">
        <v>64960.87</v>
      </c>
      <c r="M169" s="26">
        <v>3521</v>
      </c>
      <c r="N169" s="26">
        <v>1991.8</v>
      </c>
      <c r="O169" s="26">
        <v>156.63</v>
      </c>
      <c r="P169" s="26">
        <v>22183.46</v>
      </c>
      <c r="Q169" s="26">
        <v>1232.4100000000001</v>
      </c>
      <c r="R169" s="26">
        <v>938.35</v>
      </c>
      <c r="S169" s="26">
        <v>91.53</v>
      </c>
    </row>
    <row r="170" spans="1:19" ht="16.5" thickBot="1" x14ac:dyDescent="0.3">
      <c r="A170" s="88"/>
      <c r="B170" s="27" t="s">
        <v>210</v>
      </c>
      <c r="C170" s="26">
        <v>376</v>
      </c>
      <c r="D170" s="26">
        <v>361</v>
      </c>
      <c r="E170" s="26">
        <v>20</v>
      </c>
      <c r="F170" s="26">
        <v>32</v>
      </c>
      <c r="G170" s="26">
        <v>312</v>
      </c>
      <c r="H170" s="26">
        <v>171</v>
      </c>
      <c r="I170" s="26">
        <v>20</v>
      </c>
      <c r="J170" s="26">
        <v>296.87</v>
      </c>
      <c r="K170" s="26">
        <v>233</v>
      </c>
      <c r="L170" s="26">
        <v>74398.84</v>
      </c>
      <c r="M170" s="26">
        <v>3957.4</v>
      </c>
      <c r="N170" s="26">
        <v>2256.3200000000002</v>
      </c>
      <c r="O170" s="26">
        <v>158.31</v>
      </c>
      <c r="P170" s="26">
        <v>24100.27</v>
      </c>
      <c r="Q170" s="26">
        <v>1335.2</v>
      </c>
      <c r="R170" s="26">
        <v>1060.6500000000001</v>
      </c>
      <c r="S170" s="26">
        <v>90.1</v>
      </c>
    </row>
    <row r="171" spans="1:19" ht="16.5" thickBot="1" x14ac:dyDescent="0.3">
      <c r="A171" s="88"/>
      <c r="B171" s="27" t="s">
        <v>211</v>
      </c>
      <c r="C171" s="26">
        <v>382</v>
      </c>
      <c r="D171" s="26">
        <v>362</v>
      </c>
      <c r="E171" s="26">
        <v>22</v>
      </c>
      <c r="F171" s="26">
        <v>35</v>
      </c>
      <c r="G171" s="26">
        <v>312</v>
      </c>
      <c r="H171" s="26">
        <v>170</v>
      </c>
      <c r="I171" s="26">
        <v>20</v>
      </c>
      <c r="J171" s="26">
        <v>325.47000000000003</v>
      </c>
      <c r="K171" s="26">
        <v>255.5</v>
      </c>
      <c r="L171" s="26">
        <v>82894.78</v>
      </c>
      <c r="M171" s="26">
        <v>4340.1000000000004</v>
      </c>
      <c r="N171" s="26">
        <v>2491.96</v>
      </c>
      <c r="O171" s="26">
        <v>159.59</v>
      </c>
      <c r="P171" s="26">
        <v>27708.5</v>
      </c>
      <c r="Q171" s="26">
        <v>1530.86</v>
      </c>
      <c r="R171" s="26">
        <v>1168.17</v>
      </c>
      <c r="S171" s="26">
        <v>92.27</v>
      </c>
    </row>
    <row r="172" spans="1:19" ht="16.5" thickBot="1" x14ac:dyDescent="0.3">
      <c r="A172" s="88"/>
      <c r="B172" s="27" t="s">
        <v>212</v>
      </c>
      <c r="C172" s="26">
        <v>389</v>
      </c>
      <c r="D172" s="26">
        <v>363</v>
      </c>
      <c r="E172" s="26">
        <v>24</v>
      </c>
      <c r="F172" s="26">
        <v>38.5</v>
      </c>
      <c r="G172" s="26">
        <v>312</v>
      </c>
      <c r="H172" s="26">
        <v>169.5</v>
      </c>
      <c r="I172" s="26">
        <v>20</v>
      </c>
      <c r="J172" s="26">
        <v>357.82</v>
      </c>
      <c r="K172" s="26">
        <v>280.89999999999998</v>
      </c>
      <c r="L172" s="26">
        <v>93053.13</v>
      </c>
      <c r="M172" s="26">
        <v>4784.3</v>
      </c>
      <c r="N172" s="26">
        <v>2767.25</v>
      </c>
      <c r="O172" s="26">
        <v>161.26</v>
      </c>
      <c r="P172" s="26">
        <v>30738.02</v>
      </c>
      <c r="Q172" s="26">
        <v>1693.55</v>
      </c>
      <c r="R172" s="26">
        <v>1293.57</v>
      </c>
      <c r="S172" s="26">
        <v>92.68</v>
      </c>
    </row>
    <row r="173" spans="1:19" ht="16.5" thickBot="1" x14ac:dyDescent="0.3">
      <c r="A173" s="88"/>
      <c r="B173" s="27" t="s">
        <v>213</v>
      </c>
      <c r="C173" s="26">
        <v>396</v>
      </c>
      <c r="D173" s="26">
        <v>364</v>
      </c>
      <c r="E173" s="26">
        <v>26.5</v>
      </c>
      <c r="F173" s="26">
        <v>42</v>
      </c>
      <c r="G173" s="26">
        <v>312</v>
      </c>
      <c r="H173" s="26">
        <v>168.75</v>
      </c>
      <c r="I173" s="26">
        <v>20</v>
      </c>
      <c r="J173" s="26">
        <v>391.87</v>
      </c>
      <c r="K173" s="26">
        <v>307.60000000000002</v>
      </c>
      <c r="L173" s="26">
        <v>103736.95</v>
      </c>
      <c r="M173" s="26">
        <v>5239.3</v>
      </c>
      <c r="N173" s="26">
        <v>3054.44</v>
      </c>
      <c r="O173" s="26">
        <v>162.69999999999999</v>
      </c>
      <c r="P173" s="26">
        <v>33819.620000000003</v>
      </c>
      <c r="Q173" s="26">
        <v>1858.22</v>
      </c>
      <c r="R173" s="26">
        <v>1421.64</v>
      </c>
      <c r="S173" s="26">
        <v>92.9</v>
      </c>
    </row>
    <row r="174" spans="1:19" ht="16.5" thickBot="1" x14ac:dyDescent="0.3">
      <c r="A174" s="88"/>
      <c r="B174" s="27" t="s">
        <v>214</v>
      </c>
      <c r="C174" s="26">
        <v>404</v>
      </c>
      <c r="D174" s="26">
        <v>374</v>
      </c>
      <c r="E174" s="26">
        <v>29</v>
      </c>
      <c r="F174" s="26">
        <v>46</v>
      </c>
      <c r="G174" s="26">
        <v>312</v>
      </c>
      <c r="H174" s="26">
        <v>172.5</v>
      </c>
      <c r="I174" s="26">
        <v>20</v>
      </c>
      <c r="J174" s="26">
        <v>437.99</v>
      </c>
      <c r="K174" s="26">
        <v>344</v>
      </c>
      <c r="L174" s="26">
        <v>118982.06</v>
      </c>
      <c r="M174" s="26">
        <v>5890.3</v>
      </c>
      <c r="N174" s="26">
        <v>3458.4</v>
      </c>
      <c r="O174" s="26">
        <v>164.82</v>
      </c>
      <c r="P174" s="26">
        <v>40183.35</v>
      </c>
      <c r="Q174" s="26">
        <v>2148.84</v>
      </c>
      <c r="R174" s="26">
        <v>1644.63</v>
      </c>
      <c r="S174" s="26">
        <v>95.78</v>
      </c>
    </row>
    <row r="175" spans="1:19" ht="16.5" thickBot="1" x14ac:dyDescent="0.3">
      <c r="A175" s="88"/>
      <c r="B175" s="27" t="s">
        <v>215</v>
      </c>
      <c r="C175" s="26">
        <v>414</v>
      </c>
      <c r="D175" s="26">
        <v>375</v>
      </c>
      <c r="E175" s="26">
        <v>32</v>
      </c>
      <c r="F175" s="26">
        <v>51</v>
      </c>
      <c r="G175" s="26">
        <v>312</v>
      </c>
      <c r="H175" s="26">
        <v>171.5</v>
      </c>
      <c r="I175" s="26">
        <v>20</v>
      </c>
      <c r="J175" s="26">
        <v>485.77</v>
      </c>
      <c r="K175" s="26">
        <v>381</v>
      </c>
      <c r="L175" s="26">
        <v>135721.12</v>
      </c>
      <c r="M175" s="26">
        <v>6556.6</v>
      </c>
      <c r="N175" s="26">
        <v>3886.58</v>
      </c>
      <c r="O175" s="26">
        <v>167.15</v>
      </c>
      <c r="P175" s="26">
        <v>44924.27</v>
      </c>
      <c r="Q175" s="26">
        <v>2395.96</v>
      </c>
      <c r="R175" s="26">
        <v>1836.42</v>
      </c>
      <c r="S175" s="26">
        <v>96.17</v>
      </c>
    </row>
    <row r="176" spans="1:19" ht="16.5" thickBot="1" x14ac:dyDescent="0.3">
      <c r="A176" s="88"/>
      <c r="B176" s="27" t="s">
        <v>216</v>
      </c>
      <c r="C176" s="26">
        <v>424</v>
      </c>
      <c r="D176" s="26">
        <v>376</v>
      </c>
      <c r="E176" s="26">
        <v>35</v>
      </c>
      <c r="F176" s="26">
        <v>56</v>
      </c>
      <c r="G176" s="26">
        <v>312</v>
      </c>
      <c r="H176" s="26">
        <v>170.5</v>
      </c>
      <c r="I176" s="26">
        <v>20</v>
      </c>
      <c r="J176" s="26">
        <v>533.75</v>
      </c>
      <c r="K176" s="26">
        <v>419</v>
      </c>
      <c r="L176" s="26">
        <v>153322.14000000001</v>
      </c>
      <c r="M176" s="26">
        <v>7232.2</v>
      </c>
      <c r="N176" s="26">
        <v>4326.2</v>
      </c>
      <c r="O176" s="26">
        <v>169.49</v>
      </c>
      <c r="P176" s="26">
        <v>49742.07</v>
      </c>
      <c r="Q176" s="26">
        <v>2645.85</v>
      </c>
      <c r="R176" s="26">
        <v>2030.81</v>
      </c>
      <c r="S176" s="26">
        <v>96.54</v>
      </c>
    </row>
    <row r="177" spans="1:19" ht="16.5" thickBot="1" x14ac:dyDescent="0.3">
      <c r="A177" s="88"/>
      <c r="B177" s="27" t="s">
        <v>217</v>
      </c>
      <c r="C177" s="26">
        <v>434</v>
      </c>
      <c r="D177" s="26">
        <v>377</v>
      </c>
      <c r="E177" s="26">
        <v>38</v>
      </c>
      <c r="F177" s="26">
        <v>61</v>
      </c>
      <c r="G177" s="26">
        <v>312</v>
      </c>
      <c r="H177" s="26">
        <v>170</v>
      </c>
      <c r="I177" s="26">
        <v>20</v>
      </c>
      <c r="J177" s="26">
        <v>581.92999999999995</v>
      </c>
      <c r="K177" s="26">
        <v>457</v>
      </c>
      <c r="L177" s="26">
        <v>171810.19</v>
      </c>
      <c r="M177" s="26">
        <v>7917.6</v>
      </c>
      <c r="N177" s="26">
        <v>4777.34</v>
      </c>
      <c r="O177" s="26">
        <v>171.83</v>
      </c>
      <c r="P177" s="26">
        <v>53526.18</v>
      </c>
      <c r="Q177" s="26">
        <v>2839.59</v>
      </c>
      <c r="R177" s="26">
        <v>2227.81</v>
      </c>
      <c r="S177" s="26">
        <v>95.91</v>
      </c>
    </row>
    <row r="178" spans="1:19" ht="16.5" thickBot="1" x14ac:dyDescent="0.3">
      <c r="A178" s="88"/>
      <c r="B178" s="27" t="s">
        <v>218</v>
      </c>
      <c r="C178" s="26">
        <v>446</v>
      </c>
      <c r="D178" s="26">
        <v>378</v>
      </c>
      <c r="E178" s="26">
        <v>42</v>
      </c>
      <c r="F178" s="26">
        <v>67</v>
      </c>
      <c r="G178" s="26">
        <v>312</v>
      </c>
      <c r="H178" s="26">
        <v>168</v>
      </c>
      <c r="I178" s="26">
        <v>20</v>
      </c>
      <c r="J178" s="26">
        <v>640.99</v>
      </c>
      <c r="K178" s="26">
        <v>503</v>
      </c>
      <c r="L178" s="26">
        <v>195206.3</v>
      </c>
      <c r="M178" s="26">
        <v>8753.7000000000007</v>
      </c>
      <c r="N178" s="26">
        <v>5336.35</v>
      </c>
      <c r="O178" s="26">
        <v>174.51</v>
      </c>
      <c r="P178" s="26">
        <v>60526.71</v>
      </c>
      <c r="Q178" s="26">
        <v>3202.47</v>
      </c>
      <c r="R178" s="26">
        <v>2466.48</v>
      </c>
      <c r="S178" s="26">
        <v>97.17</v>
      </c>
    </row>
    <row r="179" spans="1:19" ht="16.5" thickBot="1" x14ac:dyDescent="0.3">
      <c r="A179" s="88"/>
      <c r="B179" s="27" t="s">
        <v>219</v>
      </c>
      <c r="C179" s="26">
        <v>458</v>
      </c>
      <c r="D179" s="26">
        <v>392</v>
      </c>
      <c r="E179" s="26">
        <v>46</v>
      </c>
      <c r="F179" s="26">
        <v>73</v>
      </c>
      <c r="G179" s="26">
        <v>312</v>
      </c>
      <c r="H179" s="26">
        <v>173</v>
      </c>
      <c r="I179" s="26">
        <v>20</v>
      </c>
      <c r="J179" s="26">
        <v>719.27</v>
      </c>
      <c r="K179" s="26">
        <v>565</v>
      </c>
      <c r="L179" s="26">
        <v>227053.18</v>
      </c>
      <c r="M179" s="26">
        <v>9915</v>
      </c>
      <c r="N179" s="26">
        <v>6094.32</v>
      </c>
      <c r="O179" s="26">
        <v>177.67</v>
      </c>
      <c r="P179" s="26">
        <v>73566.94</v>
      </c>
      <c r="Q179" s="26">
        <v>3753.42</v>
      </c>
      <c r="R179" s="26">
        <v>2891.61</v>
      </c>
      <c r="S179" s="26">
        <v>101.13</v>
      </c>
    </row>
    <row r="180" spans="1:19" ht="16.5" thickBot="1" x14ac:dyDescent="0.3">
      <c r="A180" s="88"/>
      <c r="B180" s="27" t="s">
        <v>220</v>
      </c>
      <c r="C180" s="26">
        <v>472</v>
      </c>
      <c r="D180" s="26">
        <v>393</v>
      </c>
      <c r="E180" s="26">
        <v>50</v>
      </c>
      <c r="F180" s="26">
        <v>80</v>
      </c>
      <c r="G180" s="26">
        <v>312</v>
      </c>
      <c r="H180" s="26">
        <v>171.5</v>
      </c>
      <c r="I180" s="26">
        <v>20</v>
      </c>
      <c r="J180" s="26">
        <v>788.23</v>
      </c>
      <c r="K180" s="26">
        <v>619</v>
      </c>
      <c r="L180" s="26">
        <v>258357.05</v>
      </c>
      <c r="M180" s="26">
        <v>10947.4</v>
      </c>
      <c r="N180" s="26">
        <v>6796.66</v>
      </c>
      <c r="O180" s="26">
        <v>181.04</v>
      </c>
      <c r="P180" s="26">
        <v>81286.559999999998</v>
      </c>
      <c r="Q180" s="26">
        <v>4136.72</v>
      </c>
      <c r="R180" s="26">
        <v>3191.54</v>
      </c>
      <c r="S180" s="26">
        <v>101.55</v>
      </c>
    </row>
    <row r="181" spans="1:19" ht="16.5" thickBot="1" x14ac:dyDescent="0.3">
      <c r="A181" s="88"/>
      <c r="B181" s="27" t="s">
        <v>221</v>
      </c>
      <c r="C181" s="26">
        <v>483</v>
      </c>
      <c r="D181" s="26">
        <v>394</v>
      </c>
      <c r="E181" s="26">
        <v>55</v>
      </c>
      <c r="F181" s="26">
        <v>88</v>
      </c>
      <c r="G181" s="26">
        <v>312</v>
      </c>
      <c r="H181" s="26">
        <v>169.5</v>
      </c>
      <c r="I181" s="26">
        <v>20</v>
      </c>
      <c r="J181" s="26">
        <v>868.47</v>
      </c>
      <c r="K181" s="26">
        <v>682</v>
      </c>
      <c r="L181" s="26">
        <v>296560.12</v>
      </c>
      <c r="M181" s="26">
        <v>12154.1</v>
      </c>
      <c r="N181" s="26">
        <v>7629.66</v>
      </c>
      <c r="O181" s="26">
        <v>184.79</v>
      </c>
      <c r="P181" s="26">
        <v>90173.85</v>
      </c>
      <c r="Q181" s="26">
        <v>4577.3500000000004</v>
      </c>
      <c r="R181" s="26">
        <v>3538.66</v>
      </c>
      <c r="S181" s="26">
        <v>101.9</v>
      </c>
    </row>
    <row r="182" spans="1:19" ht="16.5" thickBot="1" x14ac:dyDescent="0.3">
      <c r="A182" s="88"/>
      <c r="B182" s="27" t="s">
        <v>222</v>
      </c>
      <c r="C182" s="26">
        <v>506</v>
      </c>
      <c r="D182" s="26">
        <v>395</v>
      </c>
      <c r="E182" s="26">
        <v>60</v>
      </c>
      <c r="F182" s="26">
        <v>97</v>
      </c>
      <c r="G182" s="26">
        <v>312</v>
      </c>
      <c r="H182" s="26">
        <v>167.5</v>
      </c>
      <c r="I182" s="26">
        <v>20</v>
      </c>
      <c r="J182" s="26">
        <v>956.93</v>
      </c>
      <c r="K182" s="26">
        <v>751</v>
      </c>
      <c r="L182" s="26">
        <v>342451.6</v>
      </c>
      <c r="M182" s="26">
        <v>13535.7</v>
      </c>
      <c r="N182" s="26">
        <v>8591.51</v>
      </c>
      <c r="O182" s="26">
        <v>189.17</v>
      </c>
      <c r="P182" s="26">
        <v>100237.83</v>
      </c>
      <c r="Q182" s="26">
        <v>5075.33</v>
      </c>
      <c r="R182" s="26">
        <v>3929.92</v>
      </c>
      <c r="S182" s="26">
        <v>102.35</v>
      </c>
    </row>
    <row r="183" spans="1:19" ht="16.5" thickBot="1" x14ac:dyDescent="0.3">
      <c r="A183" s="88"/>
      <c r="B183" s="27" t="s">
        <v>223</v>
      </c>
      <c r="C183" s="26">
        <v>520</v>
      </c>
      <c r="D183" s="26">
        <v>409</v>
      </c>
      <c r="E183" s="26">
        <v>65</v>
      </c>
      <c r="F183" s="26">
        <v>104</v>
      </c>
      <c r="G183" s="26">
        <v>312</v>
      </c>
      <c r="H183" s="26">
        <v>172</v>
      </c>
      <c r="I183" s="26">
        <v>20</v>
      </c>
      <c r="J183" s="26">
        <v>1056.95</v>
      </c>
      <c r="K183" s="26">
        <v>830</v>
      </c>
      <c r="L183" s="26">
        <v>392963.39</v>
      </c>
      <c r="M183" s="26">
        <v>15114</v>
      </c>
      <c r="N183" s="26">
        <v>9664.42</v>
      </c>
      <c r="O183" s="26">
        <v>192.82</v>
      </c>
      <c r="P183" s="26">
        <v>119352.5</v>
      </c>
      <c r="Q183" s="26">
        <v>5836.31</v>
      </c>
      <c r="R183" s="26">
        <v>4520.43</v>
      </c>
      <c r="S183" s="26">
        <v>106.26</v>
      </c>
    </row>
    <row r="184" spans="1:19" ht="16.5" thickBot="1" x14ac:dyDescent="0.3">
      <c r="A184" s="88"/>
      <c r="B184" s="27" t="s">
        <v>224</v>
      </c>
      <c r="C184" s="26">
        <v>540</v>
      </c>
      <c r="D184" s="26">
        <v>411</v>
      </c>
      <c r="E184" s="26">
        <v>71</v>
      </c>
      <c r="F184" s="26">
        <v>114</v>
      </c>
      <c r="G184" s="26">
        <v>312</v>
      </c>
      <c r="H184" s="26">
        <v>170</v>
      </c>
      <c r="I184" s="26">
        <v>20</v>
      </c>
      <c r="J184" s="26">
        <v>1162.03</v>
      </c>
      <c r="K184" s="26">
        <v>912</v>
      </c>
      <c r="L184" s="26">
        <v>454051.03</v>
      </c>
      <c r="M184" s="26">
        <v>16816.7</v>
      </c>
      <c r="N184" s="26">
        <v>10869.85</v>
      </c>
      <c r="O184" s="26">
        <v>197.67</v>
      </c>
      <c r="P184" s="26">
        <v>132896.29999999999</v>
      </c>
      <c r="Q184" s="26">
        <v>6466.97</v>
      </c>
      <c r="R184" s="26">
        <v>5017.71</v>
      </c>
      <c r="S184" s="26">
        <v>106.94</v>
      </c>
    </row>
    <row r="185" spans="1:19" ht="16.5" thickBot="1" x14ac:dyDescent="0.3">
      <c r="A185" s="88"/>
      <c r="B185" s="27" t="s">
        <v>225</v>
      </c>
      <c r="C185" s="26">
        <v>562</v>
      </c>
      <c r="D185" s="26">
        <v>413</v>
      </c>
      <c r="E185" s="26">
        <v>77</v>
      </c>
      <c r="F185" s="26">
        <v>125</v>
      </c>
      <c r="G185" s="26">
        <v>312</v>
      </c>
      <c r="H185" s="26">
        <v>168</v>
      </c>
      <c r="I185" s="26">
        <v>20</v>
      </c>
      <c r="J185" s="26">
        <v>1276.17</v>
      </c>
      <c r="K185" s="26">
        <v>1002</v>
      </c>
      <c r="L185" s="26">
        <v>526659.93999999994</v>
      </c>
      <c r="M185" s="26">
        <v>18742.400000000001</v>
      </c>
      <c r="N185" s="26">
        <v>12243.01</v>
      </c>
      <c r="O185" s="26">
        <v>203.15</v>
      </c>
      <c r="P185" s="26">
        <v>148011.26</v>
      </c>
      <c r="Q185" s="26">
        <v>7167.62</v>
      </c>
      <c r="R185" s="26">
        <v>5568.89</v>
      </c>
      <c r="S185" s="26">
        <v>107.69</v>
      </c>
    </row>
    <row r="186" spans="1:19" ht="16.5" thickBot="1" x14ac:dyDescent="0.3">
      <c r="A186" s="88"/>
      <c r="B186" s="27" t="s">
        <v>226</v>
      </c>
      <c r="C186" s="26">
        <v>580</v>
      </c>
      <c r="D186" s="26">
        <v>426</v>
      </c>
      <c r="E186" s="26">
        <v>84</v>
      </c>
      <c r="F186" s="26">
        <v>134</v>
      </c>
      <c r="G186" s="26">
        <v>312</v>
      </c>
      <c r="H186" s="26">
        <v>171</v>
      </c>
      <c r="I186" s="26">
        <v>20</v>
      </c>
      <c r="J186" s="26">
        <v>1407.19</v>
      </c>
      <c r="K186" s="26">
        <v>1105</v>
      </c>
      <c r="L186" s="26">
        <v>606878.24</v>
      </c>
      <c r="M186" s="26">
        <v>20926.900000000001</v>
      </c>
      <c r="N186" s="26">
        <v>13777.86</v>
      </c>
      <c r="O186" s="26">
        <v>207.67</v>
      </c>
      <c r="P186" s="26">
        <v>174271.91</v>
      </c>
      <c r="Q186" s="26">
        <v>8181.78</v>
      </c>
      <c r="R186" s="26">
        <v>6362.61</v>
      </c>
      <c r="S186" s="26">
        <v>111.29</v>
      </c>
    </row>
    <row r="187" spans="1:19" ht="16.5" thickBot="1" x14ac:dyDescent="0.3">
      <c r="A187" s="88"/>
      <c r="B187" s="27" t="s">
        <v>227</v>
      </c>
      <c r="C187" s="26">
        <v>604</v>
      </c>
      <c r="D187" s="26">
        <v>430</v>
      </c>
      <c r="E187" s="26">
        <v>92</v>
      </c>
      <c r="F187" s="26">
        <v>146</v>
      </c>
      <c r="G187" s="26">
        <v>312</v>
      </c>
      <c r="H187" s="26">
        <v>169</v>
      </c>
      <c r="I187" s="26">
        <v>20</v>
      </c>
      <c r="J187" s="26">
        <v>1546.07</v>
      </c>
      <c r="K187" s="26">
        <v>1214</v>
      </c>
      <c r="L187" s="26">
        <v>704826.45</v>
      </c>
      <c r="M187" s="26">
        <v>23338.7</v>
      </c>
      <c r="N187" s="26">
        <v>15522.09</v>
      </c>
      <c r="O187" s="26">
        <v>213.51</v>
      </c>
      <c r="P187" s="26">
        <v>195579.55</v>
      </c>
      <c r="Q187" s="26">
        <v>9096.7199999999993</v>
      </c>
      <c r="R187" s="26">
        <v>7087.61</v>
      </c>
      <c r="S187" s="26">
        <v>112.47</v>
      </c>
    </row>
    <row r="188" spans="1:19" ht="16.5" thickBot="1" x14ac:dyDescent="0.3">
      <c r="A188" s="88"/>
      <c r="B188" s="27" t="s">
        <v>228</v>
      </c>
      <c r="C188" s="26">
        <v>394</v>
      </c>
      <c r="D188" s="26">
        <v>398</v>
      </c>
      <c r="E188" s="26">
        <v>11</v>
      </c>
      <c r="F188" s="26">
        <v>18</v>
      </c>
      <c r="G188" s="26">
        <v>358</v>
      </c>
      <c r="H188" s="26">
        <v>193.5</v>
      </c>
      <c r="I188" s="26">
        <v>22</v>
      </c>
      <c r="J188" s="26">
        <v>186.81</v>
      </c>
      <c r="K188" s="26">
        <v>146.6</v>
      </c>
      <c r="L188" s="26">
        <v>56145.32</v>
      </c>
      <c r="M188" s="26">
        <v>2850.1</v>
      </c>
      <c r="N188" s="26">
        <v>1559.22</v>
      </c>
      <c r="O188" s="26">
        <v>173.36</v>
      </c>
      <c r="P188" s="26">
        <v>18922.61</v>
      </c>
      <c r="Q188" s="26">
        <v>950.88</v>
      </c>
      <c r="R188" s="26">
        <v>720.4</v>
      </c>
      <c r="S188" s="26">
        <v>100.64</v>
      </c>
    </row>
    <row r="189" spans="1:19" ht="16.5" thickBot="1" x14ac:dyDescent="0.3">
      <c r="A189" s="88"/>
      <c r="B189" s="27" t="s">
        <v>229</v>
      </c>
      <c r="C189" s="26">
        <v>400</v>
      </c>
      <c r="D189" s="26">
        <v>400</v>
      </c>
      <c r="E189" s="26">
        <v>13</v>
      </c>
      <c r="F189" s="26">
        <v>21</v>
      </c>
      <c r="G189" s="26">
        <v>358</v>
      </c>
      <c r="H189" s="26">
        <v>193.5</v>
      </c>
      <c r="I189" s="26">
        <v>22</v>
      </c>
      <c r="J189" s="26">
        <v>218.69</v>
      </c>
      <c r="K189" s="26">
        <v>171.7</v>
      </c>
      <c r="L189" s="26">
        <v>66621.42</v>
      </c>
      <c r="M189" s="26">
        <v>3331.2</v>
      </c>
      <c r="N189" s="26">
        <v>1836.23</v>
      </c>
      <c r="O189" s="26">
        <v>174.54</v>
      </c>
      <c r="P189" s="26">
        <v>22412.66</v>
      </c>
      <c r="Q189" s="26">
        <v>1120.6300000000001</v>
      </c>
      <c r="R189" s="26">
        <v>849.93</v>
      </c>
      <c r="S189" s="26">
        <v>101.23</v>
      </c>
    </row>
    <row r="190" spans="1:19" ht="16.5" thickBot="1" x14ac:dyDescent="0.3">
      <c r="A190" s="88"/>
      <c r="B190" s="27" t="s">
        <v>230</v>
      </c>
      <c r="C190" s="26">
        <v>406</v>
      </c>
      <c r="D190" s="26">
        <v>403</v>
      </c>
      <c r="E190" s="26">
        <v>16</v>
      </c>
      <c r="F190" s="26">
        <v>24</v>
      </c>
      <c r="G190" s="26">
        <v>358</v>
      </c>
      <c r="H190" s="26">
        <v>193.5</v>
      </c>
      <c r="I190" s="26">
        <v>22</v>
      </c>
      <c r="J190" s="26">
        <v>254.87</v>
      </c>
      <c r="K190" s="26">
        <v>200.1</v>
      </c>
      <c r="L190" s="26">
        <v>78039.23</v>
      </c>
      <c r="M190" s="26">
        <v>3844.4</v>
      </c>
      <c r="N190" s="26">
        <v>2139.84</v>
      </c>
      <c r="O190" s="26">
        <v>174.98</v>
      </c>
      <c r="P190" s="26">
        <v>26200.17</v>
      </c>
      <c r="Q190" s="26">
        <v>1300.26</v>
      </c>
      <c r="R190" s="26">
        <v>988.59</v>
      </c>
      <c r="S190" s="26">
        <v>101.39</v>
      </c>
    </row>
    <row r="191" spans="1:19" ht="16.5" thickBot="1" x14ac:dyDescent="0.3">
      <c r="A191" s="88"/>
      <c r="B191" s="27" t="s">
        <v>231</v>
      </c>
      <c r="C191" s="26">
        <v>414</v>
      </c>
      <c r="D191" s="26">
        <v>405</v>
      </c>
      <c r="E191" s="26">
        <v>18</v>
      </c>
      <c r="F191" s="26">
        <v>28</v>
      </c>
      <c r="G191" s="26">
        <v>358</v>
      </c>
      <c r="H191" s="26">
        <v>193.5</v>
      </c>
      <c r="I191" s="26">
        <v>22</v>
      </c>
      <c r="J191" s="26">
        <v>295.39</v>
      </c>
      <c r="K191" s="26">
        <v>231.9</v>
      </c>
      <c r="L191" s="26">
        <v>92771.15</v>
      </c>
      <c r="M191" s="26">
        <v>4481.8</v>
      </c>
      <c r="N191" s="26">
        <v>2513.15</v>
      </c>
      <c r="O191" s="26">
        <v>177.22</v>
      </c>
      <c r="P191" s="26">
        <v>31026.86</v>
      </c>
      <c r="Q191" s="26">
        <v>1532.19</v>
      </c>
      <c r="R191" s="26">
        <v>1165.56</v>
      </c>
      <c r="S191" s="26">
        <v>102.49</v>
      </c>
    </row>
    <row r="192" spans="1:19" ht="16.5" thickBot="1" x14ac:dyDescent="0.3">
      <c r="A192" s="88"/>
      <c r="B192" s="27" t="s">
        <v>232</v>
      </c>
      <c r="C192" s="26">
        <v>420</v>
      </c>
      <c r="D192" s="26">
        <v>403</v>
      </c>
      <c r="E192" s="26">
        <v>20</v>
      </c>
      <c r="F192" s="26">
        <v>31</v>
      </c>
      <c r="G192" s="26">
        <v>358</v>
      </c>
      <c r="H192" s="26">
        <v>191.5</v>
      </c>
      <c r="I192" s="26">
        <v>22</v>
      </c>
      <c r="J192" s="26">
        <v>325.61</v>
      </c>
      <c r="K192" s="26">
        <v>255.6</v>
      </c>
      <c r="L192" s="26">
        <v>103629.72</v>
      </c>
      <c r="M192" s="26">
        <v>4934.8</v>
      </c>
      <c r="N192" s="26">
        <v>2786.46</v>
      </c>
      <c r="O192" s="26">
        <v>178.4</v>
      </c>
      <c r="P192" s="26">
        <v>33850.06</v>
      </c>
      <c r="Q192" s="26">
        <v>1679.9</v>
      </c>
      <c r="R192" s="26">
        <v>1279.67</v>
      </c>
      <c r="S192" s="26">
        <v>101.96</v>
      </c>
    </row>
    <row r="193" spans="1:19" ht="16.5" thickBot="1" x14ac:dyDescent="0.3">
      <c r="A193" s="88"/>
      <c r="B193" s="27" t="s">
        <v>233</v>
      </c>
      <c r="C193" s="26">
        <v>429</v>
      </c>
      <c r="D193" s="26">
        <v>400</v>
      </c>
      <c r="E193" s="26">
        <v>23</v>
      </c>
      <c r="F193" s="26">
        <v>35.5</v>
      </c>
      <c r="G193" s="26">
        <v>358</v>
      </c>
      <c r="H193" s="26">
        <v>188.5</v>
      </c>
      <c r="I193" s="26">
        <v>22</v>
      </c>
      <c r="J193" s="26">
        <v>370.49</v>
      </c>
      <c r="K193" s="26">
        <v>290.8</v>
      </c>
      <c r="L193" s="26">
        <v>120290.28</v>
      </c>
      <c r="M193" s="26">
        <v>5608</v>
      </c>
      <c r="N193" s="26">
        <v>3198.49</v>
      </c>
      <c r="O193" s="26">
        <v>180.19</v>
      </c>
      <c r="P193" s="26">
        <v>37914.85</v>
      </c>
      <c r="Q193" s="26">
        <v>1895.74</v>
      </c>
      <c r="R193" s="26">
        <v>1447.08</v>
      </c>
      <c r="S193" s="26">
        <v>101.16</v>
      </c>
    </row>
    <row r="194" spans="1:19" ht="16.5" thickBot="1" x14ac:dyDescent="0.3">
      <c r="A194" s="88"/>
      <c r="B194" s="27" t="s">
        <v>234</v>
      </c>
      <c r="C194" s="26">
        <v>438</v>
      </c>
      <c r="D194" s="26">
        <v>370</v>
      </c>
      <c r="E194" s="26">
        <v>25</v>
      </c>
      <c r="F194" s="26">
        <v>40</v>
      </c>
      <c r="G194" s="26">
        <v>358</v>
      </c>
      <c r="H194" s="26">
        <v>172.5</v>
      </c>
      <c r="I194" s="26">
        <v>22</v>
      </c>
      <c r="J194" s="26">
        <v>389.65</v>
      </c>
      <c r="K194" s="26">
        <v>306</v>
      </c>
      <c r="L194" s="26">
        <v>128432.36</v>
      </c>
      <c r="M194" s="26">
        <v>5864.6</v>
      </c>
      <c r="N194" s="26">
        <v>3381.88</v>
      </c>
      <c r="O194" s="26">
        <v>181.55</v>
      </c>
      <c r="P194" s="26">
        <v>33828.57</v>
      </c>
      <c r="Q194" s="26">
        <v>1828.57</v>
      </c>
      <c r="R194" s="26">
        <v>1400.59</v>
      </c>
      <c r="S194" s="26">
        <v>93.18</v>
      </c>
    </row>
    <row r="195" spans="1:19" ht="16.5" thickBot="1" x14ac:dyDescent="0.3">
      <c r="A195" s="88"/>
      <c r="B195" s="27" t="s">
        <v>235</v>
      </c>
      <c r="C195" s="26">
        <v>448</v>
      </c>
      <c r="D195" s="26">
        <v>371</v>
      </c>
      <c r="E195" s="26">
        <v>28</v>
      </c>
      <c r="F195" s="26">
        <v>45</v>
      </c>
      <c r="G195" s="26">
        <v>358</v>
      </c>
      <c r="H195" s="26">
        <v>171.5</v>
      </c>
      <c r="I195" s="26">
        <v>22</v>
      </c>
      <c r="J195" s="26">
        <v>438.29</v>
      </c>
      <c r="K195" s="26">
        <v>344</v>
      </c>
      <c r="L195" s="26">
        <v>148100.17000000001</v>
      </c>
      <c r="M195" s="26">
        <v>6611.7</v>
      </c>
      <c r="N195" s="26">
        <v>3848.78</v>
      </c>
      <c r="O195" s="26">
        <v>183.82</v>
      </c>
      <c r="P195" s="26">
        <v>38379.65</v>
      </c>
      <c r="Q195" s="26">
        <v>2068.98</v>
      </c>
      <c r="R195" s="26">
        <v>1587.47</v>
      </c>
      <c r="S195" s="26">
        <v>93.58</v>
      </c>
    </row>
    <row r="196" spans="1:19" ht="16.5" thickBot="1" x14ac:dyDescent="0.3">
      <c r="A196" s="88"/>
      <c r="B196" s="27" t="s">
        <v>236</v>
      </c>
      <c r="C196" s="26">
        <v>458</v>
      </c>
      <c r="D196" s="26">
        <v>372</v>
      </c>
      <c r="E196" s="26">
        <v>31</v>
      </c>
      <c r="F196" s="26">
        <v>50</v>
      </c>
      <c r="G196" s="26">
        <v>358</v>
      </c>
      <c r="H196" s="26">
        <v>170.5</v>
      </c>
      <c r="I196" s="26">
        <v>22</v>
      </c>
      <c r="J196" s="26">
        <v>487.13</v>
      </c>
      <c r="K196" s="26">
        <v>382</v>
      </c>
      <c r="L196" s="26">
        <v>168699.39</v>
      </c>
      <c r="M196" s="26">
        <v>7366.9</v>
      </c>
      <c r="N196" s="26">
        <v>4327.2</v>
      </c>
      <c r="O196" s="26">
        <v>186.09</v>
      </c>
      <c r="P196" s="26">
        <v>43005.919999999998</v>
      </c>
      <c r="Q196" s="26">
        <v>2312.15</v>
      </c>
      <c r="R196" s="26">
        <v>1777.05</v>
      </c>
      <c r="S196" s="26">
        <v>93.96</v>
      </c>
    </row>
    <row r="197" spans="1:19" ht="16.5" thickBot="1" x14ac:dyDescent="0.3">
      <c r="A197" s="88"/>
      <c r="B197" s="27" t="s">
        <v>237</v>
      </c>
      <c r="C197" s="26">
        <v>470</v>
      </c>
      <c r="D197" s="26">
        <v>373</v>
      </c>
      <c r="E197" s="26">
        <v>35</v>
      </c>
      <c r="F197" s="26">
        <v>56</v>
      </c>
      <c r="G197" s="26">
        <v>358</v>
      </c>
      <c r="H197" s="26">
        <v>169</v>
      </c>
      <c r="I197" s="26">
        <v>22</v>
      </c>
      <c r="J197" s="26">
        <v>547.21</v>
      </c>
      <c r="K197" s="26">
        <v>430</v>
      </c>
      <c r="L197" s="26">
        <v>194740.02</v>
      </c>
      <c r="M197" s="26">
        <v>8286.9</v>
      </c>
      <c r="N197" s="26">
        <v>4920.7</v>
      </c>
      <c r="O197" s="26">
        <v>188.65</v>
      </c>
      <c r="P197" s="26">
        <v>48584.92</v>
      </c>
      <c r="Q197" s="26">
        <v>2605.09</v>
      </c>
      <c r="R197" s="26">
        <v>2007.28</v>
      </c>
      <c r="S197" s="26">
        <v>94.23</v>
      </c>
    </row>
    <row r="198" spans="1:19" ht="16.5" thickBot="1" x14ac:dyDescent="0.3">
      <c r="A198" s="88"/>
      <c r="B198" s="27" t="s">
        <v>238</v>
      </c>
      <c r="C198" s="26">
        <v>484</v>
      </c>
      <c r="D198" s="26">
        <v>374</v>
      </c>
      <c r="E198" s="26">
        <v>39</v>
      </c>
      <c r="F198" s="26">
        <v>63</v>
      </c>
      <c r="G198" s="26">
        <v>358</v>
      </c>
      <c r="H198" s="26">
        <v>167.5</v>
      </c>
      <c r="I198" s="26">
        <v>22</v>
      </c>
      <c r="J198" s="26">
        <v>615.01</v>
      </c>
      <c r="K198" s="26">
        <v>483</v>
      </c>
      <c r="L198" s="26">
        <v>226537.97</v>
      </c>
      <c r="M198" s="26">
        <v>9361.1</v>
      </c>
      <c r="N198" s="26">
        <v>5620.76</v>
      </c>
      <c r="O198" s="26">
        <v>191.92</v>
      </c>
      <c r="P198" s="26">
        <v>55131.73</v>
      </c>
      <c r="Q198" s="26">
        <v>2948.22</v>
      </c>
      <c r="R198" s="26">
        <v>2276.1799999999998</v>
      </c>
      <c r="S198" s="26">
        <v>94.68</v>
      </c>
    </row>
    <row r="199" spans="1:19" ht="16.5" thickBot="1" x14ac:dyDescent="0.3">
      <c r="A199" s="88"/>
      <c r="B199" s="27" t="s">
        <v>239</v>
      </c>
      <c r="C199" s="26">
        <v>494</v>
      </c>
      <c r="D199" s="26">
        <v>392</v>
      </c>
      <c r="E199" s="26">
        <v>43</v>
      </c>
      <c r="F199" s="26">
        <v>68</v>
      </c>
      <c r="G199" s="26">
        <v>358</v>
      </c>
      <c r="H199" s="26">
        <v>174.5</v>
      </c>
      <c r="I199" s="26">
        <v>22</v>
      </c>
      <c r="J199" s="26">
        <v>691.21</v>
      </c>
      <c r="K199" s="26">
        <v>543</v>
      </c>
      <c r="L199" s="26">
        <v>261626.64</v>
      </c>
      <c r="M199" s="26">
        <v>10592.2</v>
      </c>
      <c r="N199" s="26">
        <v>6402.77</v>
      </c>
      <c r="O199" s="26">
        <v>194.55</v>
      </c>
      <c r="P199" s="26">
        <v>68534.67</v>
      </c>
      <c r="Q199" s="26">
        <v>3496.67</v>
      </c>
      <c r="R199" s="26">
        <v>2700.52</v>
      </c>
      <c r="S199" s="26">
        <v>99.57</v>
      </c>
    </row>
    <row r="200" spans="1:19" ht="16.5" thickBot="1" x14ac:dyDescent="0.3">
      <c r="A200" s="88"/>
      <c r="B200" s="27" t="s">
        <v>240</v>
      </c>
      <c r="C200" s="26">
        <v>510</v>
      </c>
      <c r="D200" s="26">
        <v>393</v>
      </c>
      <c r="E200" s="26">
        <v>48</v>
      </c>
      <c r="F200" s="26">
        <v>76</v>
      </c>
      <c r="G200" s="26">
        <v>358</v>
      </c>
      <c r="H200" s="26">
        <v>172.5</v>
      </c>
      <c r="I200" s="26">
        <v>22</v>
      </c>
      <c r="J200" s="26">
        <v>773.35</v>
      </c>
      <c r="K200" s="26">
        <v>607</v>
      </c>
      <c r="L200" s="26">
        <v>303779.07</v>
      </c>
      <c r="M200" s="26">
        <v>11913</v>
      </c>
      <c r="N200" s="26">
        <v>7286.5</v>
      </c>
      <c r="O200" s="26">
        <v>198.19</v>
      </c>
      <c r="P200" s="26">
        <v>77250.070000000007</v>
      </c>
      <c r="Q200" s="26">
        <v>3931.3</v>
      </c>
      <c r="R200" s="26">
        <v>3043.64</v>
      </c>
      <c r="S200" s="26">
        <v>99.94</v>
      </c>
    </row>
    <row r="201" spans="1:19" ht="16.5" thickBot="1" x14ac:dyDescent="0.3">
      <c r="A201" s="88"/>
      <c r="B201" s="27" t="s">
        <v>241</v>
      </c>
      <c r="C201" s="26">
        <v>528</v>
      </c>
      <c r="D201" s="26">
        <v>394</v>
      </c>
      <c r="E201" s="26">
        <v>53</v>
      </c>
      <c r="F201" s="26">
        <v>85</v>
      </c>
      <c r="G201" s="26">
        <v>358</v>
      </c>
      <c r="H201" s="26">
        <v>170.5</v>
      </c>
      <c r="I201" s="26">
        <v>22</v>
      </c>
      <c r="J201" s="26">
        <v>863.69</v>
      </c>
      <c r="K201" s="26">
        <v>678</v>
      </c>
      <c r="L201" s="26">
        <v>354176.41</v>
      </c>
      <c r="M201" s="26">
        <v>13415.8</v>
      </c>
      <c r="N201" s="26">
        <v>8303.2900000000009</v>
      </c>
      <c r="O201" s="26">
        <v>202.5</v>
      </c>
      <c r="P201" s="26">
        <v>87133.4</v>
      </c>
      <c r="Q201" s="26">
        <v>4423.0200000000004</v>
      </c>
      <c r="R201" s="26">
        <v>3430.99</v>
      </c>
      <c r="S201" s="26">
        <v>100.44</v>
      </c>
    </row>
    <row r="202" spans="1:19" ht="16.5" thickBot="1" x14ac:dyDescent="0.3">
      <c r="A202" s="88"/>
      <c r="B202" s="27" t="s">
        <v>242</v>
      </c>
      <c r="C202" s="26">
        <v>548</v>
      </c>
      <c r="D202" s="26">
        <v>395</v>
      </c>
      <c r="E202" s="26">
        <v>59</v>
      </c>
      <c r="F202" s="26">
        <v>95</v>
      </c>
      <c r="G202" s="26">
        <v>358</v>
      </c>
      <c r="H202" s="26">
        <v>168</v>
      </c>
      <c r="I202" s="26">
        <v>22</v>
      </c>
      <c r="J202" s="26">
        <v>965.87</v>
      </c>
      <c r="K202" s="26">
        <v>758</v>
      </c>
      <c r="L202" s="26">
        <v>414486.61</v>
      </c>
      <c r="M202" s="26">
        <v>15127.3</v>
      </c>
      <c r="N202" s="26">
        <v>9480.7900000000009</v>
      </c>
      <c r="O202" s="26">
        <v>207.15</v>
      </c>
      <c r="P202" s="26">
        <v>98243.25</v>
      </c>
      <c r="Q202" s="26">
        <v>4974.34</v>
      </c>
      <c r="R202" s="26">
        <v>3868.52</v>
      </c>
      <c r="S202" s="26">
        <v>100.85</v>
      </c>
    </row>
    <row r="203" spans="1:19" ht="16.5" thickBot="1" x14ac:dyDescent="0.3">
      <c r="A203" s="88"/>
      <c r="B203" s="27" t="s">
        <v>243</v>
      </c>
      <c r="C203" s="26">
        <v>564</v>
      </c>
      <c r="D203" s="26">
        <v>410</v>
      </c>
      <c r="E203" s="26">
        <v>65</v>
      </c>
      <c r="F203" s="26">
        <v>103</v>
      </c>
      <c r="G203" s="26">
        <v>358</v>
      </c>
      <c r="H203" s="26">
        <v>172.5</v>
      </c>
      <c r="I203" s="26">
        <v>22</v>
      </c>
      <c r="J203" s="26">
        <v>1081.45</v>
      </c>
      <c r="K203" s="26">
        <v>849</v>
      </c>
      <c r="L203" s="26">
        <v>482318.03</v>
      </c>
      <c r="M203" s="26">
        <v>17103.5</v>
      </c>
      <c r="N203" s="26">
        <v>10811.51</v>
      </c>
      <c r="O203" s="26">
        <v>211.18</v>
      </c>
      <c r="P203" s="26">
        <v>119192.53</v>
      </c>
      <c r="Q203" s="26">
        <v>5814.27</v>
      </c>
      <c r="R203" s="26">
        <v>4525.42</v>
      </c>
      <c r="S203" s="26">
        <v>104.98</v>
      </c>
    </row>
    <row r="204" spans="1:19" ht="16.5" thickBot="1" x14ac:dyDescent="0.3">
      <c r="A204" s="88"/>
      <c r="B204" s="27" t="s">
        <v>244</v>
      </c>
      <c r="C204" s="26">
        <v>588</v>
      </c>
      <c r="D204" s="26">
        <v>412</v>
      </c>
      <c r="E204" s="26">
        <v>72</v>
      </c>
      <c r="F204" s="26">
        <v>115</v>
      </c>
      <c r="G204" s="26">
        <v>358</v>
      </c>
      <c r="H204" s="26">
        <v>170</v>
      </c>
      <c r="I204" s="26">
        <v>22</v>
      </c>
      <c r="J204" s="26">
        <v>1209.51</v>
      </c>
      <c r="K204" s="26">
        <v>949</v>
      </c>
      <c r="L204" s="26">
        <v>569246.81000000006</v>
      </c>
      <c r="M204" s="26">
        <v>19362.2</v>
      </c>
      <c r="N204" s="26">
        <v>12395.01</v>
      </c>
      <c r="O204" s="26">
        <v>216.94</v>
      </c>
      <c r="P204" s="26">
        <v>135224.94</v>
      </c>
      <c r="Q204" s="26">
        <v>6564.32</v>
      </c>
      <c r="R204" s="26">
        <v>5120.62</v>
      </c>
      <c r="S204" s="26">
        <v>105.74</v>
      </c>
    </row>
    <row r="205" spans="1:19" ht="16.5" thickBot="1" x14ac:dyDescent="0.3">
      <c r="A205" s="88"/>
      <c r="B205" s="27" t="s">
        <v>245</v>
      </c>
      <c r="C205" s="26">
        <v>616</v>
      </c>
      <c r="D205" s="26">
        <v>414</v>
      </c>
      <c r="E205" s="26">
        <v>80</v>
      </c>
      <c r="F205" s="26">
        <v>129</v>
      </c>
      <c r="G205" s="26">
        <v>358</v>
      </c>
      <c r="H205" s="26">
        <v>167</v>
      </c>
      <c r="I205" s="26">
        <v>22</v>
      </c>
      <c r="J205" s="26">
        <v>1358.67</v>
      </c>
      <c r="K205" s="26">
        <v>1067</v>
      </c>
      <c r="L205" s="26">
        <v>679972.85</v>
      </c>
      <c r="M205" s="26">
        <v>22077.1</v>
      </c>
      <c r="N205" s="26">
        <v>14322.16</v>
      </c>
      <c r="O205" s="26">
        <v>223.71</v>
      </c>
      <c r="P205" s="26">
        <v>154171.54999999999</v>
      </c>
      <c r="Q205" s="26">
        <v>7447.9</v>
      </c>
      <c r="R205" s="26">
        <v>5823.25</v>
      </c>
      <c r="S205" s="26">
        <v>106.52</v>
      </c>
    </row>
    <row r="206" spans="1:19" ht="16.5" thickBot="1" x14ac:dyDescent="0.3">
      <c r="A206" s="88"/>
      <c r="B206" s="27" t="s">
        <v>246</v>
      </c>
      <c r="C206" s="26">
        <v>638</v>
      </c>
      <c r="D206" s="26">
        <v>430</v>
      </c>
      <c r="E206" s="26">
        <v>87</v>
      </c>
      <c r="F206" s="26">
        <v>140</v>
      </c>
      <c r="G206" s="26">
        <v>358</v>
      </c>
      <c r="H206" s="26">
        <v>171.5</v>
      </c>
      <c r="I206" s="26">
        <v>22</v>
      </c>
      <c r="J206" s="26">
        <v>1519.61</v>
      </c>
      <c r="K206" s="26">
        <v>1193</v>
      </c>
      <c r="L206" s="26">
        <v>800682.18</v>
      </c>
      <c r="M206" s="26">
        <v>25099.8</v>
      </c>
      <c r="N206" s="26">
        <v>16419.75</v>
      </c>
      <c r="O206" s="26">
        <v>229.54</v>
      </c>
      <c r="P206" s="26">
        <v>187578.94</v>
      </c>
      <c r="Q206" s="26">
        <v>8724.6</v>
      </c>
      <c r="R206" s="26">
        <v>6820.27</v>
      </c>
      <c r="S206" s="26">
        <v>111.1</v>
      </c>
    </row>
    <row r="207" spans="1:19" ht="16.5" thickBot="1" x14ac:dyDescent="0.3">
      <c r="A207" s="89"/>
      <c r="B207" s="27" t="s">
        <v>247</v>
      </c>
      <c r="C207" s="26">
        <v>668</v>
      </c>
      <c r="D207" s="26">
        <v>435</v>
      </c>
      <c r="E207" s="26">
        <v>96</v>
      </c>
      <c r="F207" s="26">
        <v>155</v>
      </c>
      <c r="G207" s="26">
        <v>358</v>
      </c>
      <c r="H207" s="26">
        <v>169.5</v>
      </c>
      <c r="I207" s="26">
        <v>22</v>
      </c>
      <c r="J207" s="26">
        <v>1696.33</v>
      </c>
      <c r="K207" s="26">
        <v>1332</v>
      </c>
      <c r="L207" s="26">
        <v>952172.59</v>
      </c>
      <c r="M207" s="26">
        <v>28508.2</v>
      </c>
      <c r="N207" s="26">
        <v>18868.64</v>
      </c>
      <c r="O207" s="26">
        <v>236.92</v>
      </c>
      <c r="P207" s="26">
        <v>215398.07</v>
      </c>
      <c r="Q207" s="26">
        <v>9903.36</v>
      </c>
      <c r="R207" s="26">
        <v>7755.88</v>
      </c>
      <c r="S207" s="26">
        <v>112.68</v>
      </c>
    </row>
    <row r="208" spans="1:19" ht="16.5" thickBot="1" x14ac:dyDescent="0.3">
      <c r="A208" s="87" t="s">
        <v>248</v>
      </c>
      <c r="B208" s="27" t="s">
        <v>249</v>
      </c>
      <c r="C208" s="26">
        <v>128</v>
      </c>
      <c r="D208" s="26">
        <v>118</v>
      </c>
      <c r="E208" s="26">
        <v>9</v>
      </c>
      <c r="F208" s="26">
        <v>9</v>
      </c>
      <c r="G208" s="26">
        <v>110</v>
      </c>
      <c r="H208" s="26">
        <v>54.5</v>
      </c>
      <c r="I208" s="26">
        <v>12</v>
      </c>
      <c r="J208" s="26">
        <v>32.380000000000003</v>
      </c>
      <c r="K208" s="26">
        <v>56.2</v>
      </c>
      <c r="L208" s="26">
        <v>4982.3</v>
      </c>
      <c r="M208" s="26">
        <v>498.2</v>
      </c>
      <c r="N208" s="26">
        <v>80.040000000000006</v>
      </c>
      <c r="O208" s="26">
        <v>124.05</v>
      </c>
      <c r="P208" s="26">
        <v>247.82</v>
      </c>
      <c r="Q208" s="26">
        <v>42</v>
      </c>
      <c r="R208" s="26">
        <v>32.89</v>
      </c>
      <c r="S208" s="26">
        <v>27.67</v>
      </c>
    </row>
    <row r="209" spans="1:19" ht="16.5" thickBot="1" x14ac:dyDescent="0.3">
      <c r="A209" s="88"/>
      <c r="B209" s="27" t="s">
        <v>250</v>
      </c>
      <c r="C209" s="26">
        <v>200</v>
      </c>
      <c r="D209" s="26">
        <v>204</v>
      </c>
      <c r="E209" s="26">
        <v>12</v>
      </c>
      <c r="F209" s="26">
        <v>12</v>
      </c>
      <c r="G209" s="26">
        <v>176</v>
      </c>
      <c r="H209" s="26">
        <v>96</v>
      </c>
      <c r="I209" s="26">
        <v>13</v>
      </c>
      <c r="J209" s="26">
        <v>71.53</v>
      </c>
      <c r="K209" s="26">
        <v>56.2</v>
      </c>
      <c r="L209" s="26">
        <v>4982.3</v>
      </c>
      <c r="M209" s="26">
        <v>498.2</v>
      </c>
      <c r="N209" s="26">
        <v>282.75</v>
      </c>
      <c r="O209" s="26">
        <v>83.46</v>
      </c>
      <c r="P209" s="26">
        <v>1701.7</v>
      </c>
      <c r="Q209" s="26">
        <v>166.83</v>
      </c>
      <c r="R209" s="26">
        <v>128.66</v>
      </c>
      <c r="S209" s="26">
        <v>48.77</v>
      </c>
    </row>
    <row r="210" spans="1:19" ht="16.5" thickBot="1" x14ac:dyDescent="0.3">
      <c r="A210" s="88"/>
      <c r="B210" s="27" t="s">
        <v>251</v>
      </c>
      <c r="C210" s="26">
        <v>244</v>
      </c>
      <c r="D210" s="26">
        <v>252</v>
      </c>
      <c r="E210" s="26">
        <v>11</v>
      </c>
      <c r="F210" s="26">
        <v>11</v>
      </c>
      <c r="G210" s="26">
        <v>222</v>
      </c>
      <c r="H210" s="26">
        <v>120.5</v>
      </c>
      <c r="I210" s="26">
        <v>16</v>
      </c>
      <c r="J210" s="26">
        <v>82.06</v>
      </c>
      <c r="K210" s="26">
        <v>64.400000000000006</v>
      </c>
      <c r="L210" s="26">
        <v>8786.7800000000007</v>
      </c>
      <c r="M210" s="26">
        <v>720.3</v>
      </c>
      <c r="N210" s="26">
        <v>402.51</v>
      </c>
      <c r="O210" s="26">
        <v>103.48</v>
      </c>
      <c r="P210" s="26">
        <v>2938.35</v>
      </c>
      <c r="Q210" s="26">
        <v>233.2</v>
      </c>
      <c r="R210" s="26">
        <v>178.99</v>
      </c>
      <c r="S210" s="26">
        <v>59.84</v>
      </c>
    </row>
    <row r="211" spans="1:19" ht="16.5" thickBot="1" x14ac:dyDescent="0.3">
      <c r="A211" s="88"/>
      <c r="B211" s="27" t="s">
        <v>252</v>
      </c>
      <c r="C211" s="26">
        <v>250</v>
      </c>
      <c r="D211" s="26">
        <v>255</v>
      </c>
      <c r="E211" s="26">
        <v>14</v>
      </c>
      <c r="F211" s="26">
        <v>14</v>
      </c>
      <c r="G211" s="26">
        <v>222</v>
      </c>
      <c r="H211" s="26">
        <v>120.5</v>
      </c>
      <c r="I211" s="26">
        <v>16</v>
      </c>
      <c r="J211" s="26">
        <v>104.68</v>
      </c>
      <c r="K211" s="26">
        <v>82.2</v>
      </c>
      <c r="L211" s="26">
        <v>11483.66</v>
      </c>
      <c r="M211" s="26">
        <v>918.7</v>
      </c>
      <c r="N211" s="26">
        <v>519.30999999999995</v>
      </c>
      <c r="O211" s="26">
        <v>104.74</v>
      </c>
      <c r="P211" s="26">
        <v>3876.71</v>
      </c>
      <c r="Q211" s="26">
        <v>304.06</v>
      </c>
      <c r="R211" s="26">
        <v>234.19</v>
      </c>
      <c r="S211" s="26">
        <v>60.86</v>
      </c>
    </row>
    <row r="212" spans="1:19" ht="16.5" thickBot="1" x14ac:dyDescent="0.3">
      <c r="A212" s="88"/>
      <c r="B212" s="27" t="s">
        <v>253</v>
      </c>
      <c r="C212" s="26">
        <v>294</v>
      </c>
      <c r="D212" s="26">
        <v>302</v>
      </c>
      <c r="E212" s="26">
        <v>12</v>
      </c>
      <c r="F212" s="26">
        <v>12</v>
      </c>
      <c r="G212" s="26">
        <v>270</v>
      </c>
      <c r="H212" s="26">
        <v>145</v>
      </c>
      <c r="I212" s="26">
        <v>18</v>
      </c>
      <c r="J212" s="26">
        <v>107.66</v>
      </c>
      <c r="K212" s="26">
        <v>84.5</v>
      </c>
      <c r="L212" s="26">
        <v>16864.21</v>
      </c>
      <c r="M212" s="26">
        <v>1147.3</v>
      </c>
      <c r="N212" s="26">
        <v>638.54999999999995</v>
      </c>
      <c r="O212" s="26">
        <v>125.16</v>
      </c>
      <c r="P212" s="26">
        <v>5515.71</v>
      </c>
      <c r="Q212" s="26">
        <v>365.28</v>
      </c>
      <c r="R212" s="26">
        <v>279.87</v>
      </c>
      <c r="S212" s="26">
        <v>71.58</v>
      </c>
    </row>
    <row r="213" spans="1:19" ht="16.5" thickBot="1" x14ac:dyDescent="0.3">
      <c r="A213" s="88"/>
      <c r="B213" s="27" t="s">
        <v>254</v>
      </c>
      <c r="C213" s="26">
        <v>300</v>
      </c>
      <c r="D213" s="26">
        <v>305</v>
      </c>
      <c r="E213" s="26">
        <v>15</v>
      </c>
      <c r="F213" s="26">
        <v>15</v>
      </c>
      <c r="G213" s="26">
        <v>270</v>
      </c>
      <c r="H213" s="26">
        <v>145</v>
      </c>
      <c r="I213" s="26">
        <v>18</v>
      </c>
      <c r="J213" s="26">
        <v>134.78</v>
      </c>
      <c r="K213" s="26">
        <v>105.8</v>
      </c>
      <c r="L213" s="26">
        <v>21535.21</v>
      </c>
      <c r="M213" s="26">
        <v>1435.7</v>
      </c>
      <c r="N213" s="26">
        <v>806.84</v>
      </c>
      <c r="O213" s="26">
        <v>126.4</v>
      </c>
      <c r="P213" s="26">
        <v>7104.75</v>
      </c>
      <c r="Q213" s="26">
        <v>465.89</v>
      </c>
      <c r="R213" s="26">
        <v>358.04</v>
      </c>
      <c r="S213" s="26">
        <v>72.599999999999994</v>
      </c>
    </row>
    <row r="214" spans="1:19" ht="16.5" thickBot="1" x14ac:dyDescent="0.3">
      <c r="A214" s="88"/>
      <c r="B214" s="27" t="s">
        <v>255</v>
      </c>
      <c r="C214" s="26">
        <v>326.7</v>
      </c>
      <c r="D214" s="26">
        <v>319.7</v>
      </c>
      <c r="E214" s="26">
        <v>24.8</v>
      </c>
      <c r="F214" s="26">
        <v>24.8</v>
      </c>
      <c r="G214" s="26">
        <v>277.10000000000002</v>
      </c>
      <c r="H214" s="26">
        <v>147.44999999999999</v>
      </c>
      <c r="I214" s="26">
        <v>15.2</v>
      </c>
      <c r="J214" s="26">
        <v>229.28</v>
      </c>
      <c r="K214" s="26">
        <v>105.8</v>
      </c>
      <c r="L214" s="26">
        <v>21535.21</v>
      </c>
      <c r="M214" s="26">
        <v>1435.7</v>
      </c>
      <c r="N214" s="26">
        <v>1448.25</v>
      </c>
      <c r="O214" s="26">
        <v>96.92</v>
      </c>
      <c r="P214" s="26">
        <v>13546.38</v>
      </c>
      <c r="Q214" s="26">
        <v>847.44</v>
      </c>
      <c r="R214" s="26">
        <v>656.56</v>
      </c>
      <c r="S214" s="26">
        <v>76.87</v>
      </c>
    </row>
    <row r="215" spans="1:19" ht="16.5" thickBot="1" x14ac:dyDescent="0.3">
      <c r="A215" s="88"/>
      <c r="B215" s="27" t="s">
        <v>256</v>
      </c>
      <c r="C215" s="26">
        <v>337.9</v>
      </c>
      <c r="D215" s="26">
        <v>325.7</v>
      </c>
      <c r="E215" s="26">
        <v>30.3</v>
      </c>
      <c r="F215" s="26">
        <v>30.4</v>
      </c>
      <c r="G215" s="26">
        <v>277.10000000000002</v>
      </c>
      <c r="H215" s="26">
        <v>147.69999999999999</v>
      </c>
      <c r="I215" s="26">
        <v>15.2</v>
      </c>
      <c r="J215" s="26">
        <v>283.97000000000003</v>
      </c>
      <c r="K215" s="26">
        <v>105.8</v>
      </c>
      <c r="L215" s="26">
        <v>21535.21</v>
      </c>
      <c r="M215" s="26">
        <v>1435.7</v>
      </c>
      <c r="N215" s="26">
        <v>1826.55</v>
      </c>
      <c r="O215" s="26">
        <v>87.08</v>
      </c>
      <c r="P215" s="26">
        <v>17576.759999999998</v>
      </c>
      <c r="Q215" s="26">
        <v>1079.32</v>
      </c>
      <c r="R215" s="26">
        <v>839.85</v>
      </c>
      <c r="S215" s="26">
        <v>78.67</v>
      </c>
    </row>
    <row r="216" spans="1:19" ht="16.5" thickBot="1" x14ac:dyDescent="0.3">
      <c r="A216" s="88"/>
      <c r="B216" s="27" t="s">
        <v>257</v>
      </c>
      <c r="C216" s="26">
        <v>338</v>
      </c>
      <c r="D216" s="26">
        <v>351</v>
      </c>
      <c r="E216" s="26">
        <v>13</v>
      </c>
      <c r="F216" s="26">
        <v>13</v>
      </c>
      <c r="G216" s="26">
        <v>312</v>
      </c>
      <c r="H216" s="26">
        <v>169</v>
      </c>
      <c r="I216" s="26">
        <v>20</v>
      </c>
      <c r="J216" s="26">
        <v>135.25</v>
      </c>
      <c r="K216" s="26">
        <v>106.2</v>
      </c>
      <c r="L216" s="26">
        <v>28190.35</v>
      </c>
      <c r="M216" s="26">
        <v>1668.1</v>
      </c>
      <c r="N216" s="26">
        <v>925.69</v>
      </c>
      <c r="O216" s="26">
        <v>144.37</v>
      </c>
      <c r="P216" s="26">
        <v>9379.75</v>
      </c>
      <c r="Q216" s="26">
        <v>534.46</v>
      </c>
      <c r="R216" s="26">
        <v>408.88</v>
      </c>
      <c r="S216" s="26">
        <v>83.28</v>
      </c>
    </row>
    <row r="217" spans="1:19" ht="16.5" thickBot="1" x14ac:dyDescent="0.3">
      <c r="A217" s="88"/>
      <c r="B217" s="27" t="s">
        <v>258</v>
      </c>
      <c r="C217" s="26">
        <v>344</v>
      </c>
      <c r="D217" s="26">
        <v>354</v>
      </c>
      <c r="E217" s="26">
        <v>16</v>
      </c>
      <c r="F217" s="26">
        <v>16</v>
      </c>
      <c r="G217" s="26">
        <v>312</v>
      </c>
      <c r="H217" s="26">
        <v>169</v>
      </c>
      <c r="I217" s="26">
        <v>20</v>
      </c>
      <c r="J217" s="26">
        <v>166.63</v>
      </c>
      <c r="K217" s="26">
        <v>130.80000000000001</v>
      </c>
      <c r="L217" s="26">
        <v>35330.39</v>
      </c>
      <c r="M217" s="26">
        <v>2054.1999999999998</v>
      </c>
      <c r="N217" s="26">
        <v>1149.5999999999999</v>
      </c>
      <c r="O217" s="26">
        <v>145.61000000000001</v>
      </c>
      <c r="P217" s="26">
        <v>11846.29</v>
      </c>
      <c r="Q217" s="26">
        <v>669.28</v>
      </c>
      <c r="R217" s="26">
        <v>513.39</v>
      </c>
      <c r="S217" s="26">
        <v>84.32</v>
      </c>
    </row>
    <row r="218" spans="1:19" ht="16.5" thickBot="1" x14ac:dyDescent="0.3">
      <c r="A218" s="88"/>
      <c r="B218" s="27" t="s">
        <v>259</v>
      </c>
      <c r="C218" s="26">
        <v>350</v>
      </c>
      <c r="D218" s="26">
        <v>357</v>
      </c>
      <c r="E218" s="26">
        <v>19</v>
      </c>
      <c r="F218" s="26">
        <v>19</v>
      </c>
      <c r="G218" s="26">
        <v>312</v>
      </c>
      <c r="H218" s="26">
        <v>169</v>
      </c>
      <c r="I218" s="26">
        <v>20</v>
      </c>
      <c r="J218" s="26">
        <v>198.37</v>
      </c>
      <c r="K218" s="26">
        <v>155.69999999999999</v>
      </c>
      <c r="L218" s="26">
        <v>42796.14</v>
      </c>
      <c r="M218" s="26">
        <v>2445.6</v>
      </c>
      <c r="N218" s="26">
        <v>1379.79</v>
      </c>
      <c r="O218" s="26">
        <v>146.88</v>
      </c>
      <c r="P218" s="26">
        <v>14433.12</v>
      </c>
      <c r="Q218" s="26">
        <v>808.58</v>
      </c>
      <c r="R218" s="26">
        <v>621.86</v>
      </c>
      <c r="S218" s="26">
        <v>85.3</v>
      </c>
    </row>
    <row r="219" spans="1:19" ht="16.5" thickBot="1" x14ac:dyDescent="0.3">
      <c r="A219" s="88"/>
      <c r="B219" s="27" t="s">
        <v>260</v>
      </c>
      <c r="C219" s="26">
        <v>388</v>
      </c>
      <c r="D219" s="26">
        <v>402</v>
      </c>
      <c r="E219" s="26">
        <v>15</v>
      </c>
      <c r="F219" s="26">
        <v>15</v>
      </c>
      <c r="G219" s="26">
        <v>358</v>
      </c>
      <c r="H219" s="26">
        <v>193.5</v>
      </c>
      <c r="I219" s="26">
        <v>22</v>
      </c>
      <c r="J219" s="26">
        <v>178.45</v>
      </c>
      <c r="K219" s="26">
        <v>140.1</v>
      </c>
      <c r="L219" s="26">
        <v>48965.18</v>
      </c>
      <c r="M219" s="26">
        <v>2524.1</v>
      </c>
      <c r="N219" s="26">
        <v>1401.07</v>
      </c>
      <c r="O219" s="26">
        <v>165.65</v>
      </c>
      <c r="P219" s="26">
        <v>16258.37</v>
      </c>
      <c r="Q219" s="26">
        <v>808.87</v>
      </c>
      <c r="R219" s="26">
        <v>618.66</v>
      </c>
      <c r="S219" s="26">
        <v>95.45</v>
      </c>
    </row>
    <row r="220" spans="1:19" ht="16.5" thickBot="1" x14ac:dyDescent="0.3">
      <c r="A220" s="88"/>
      <c r="B220" s="27" t="s">
        <v>261</v>
      </c>
      <c r="C220" s="26">
        <v>394</v>
      </c>
      <c r="D220" s="26">
        <v>405</v>
      </c>
      <c r="E220" s="26">
        <v>18</v>
      </c>
      <c r="F220" s="26">
        <v>18</v>
      </c>
      <c r="G220" s="26">
        <v>358</v>
      </c>
      <c r="H220" s="26">
        <v>193.5</v>
      </c>
      <c r="I220" s="26">
        <v>22</v>
      </c>
      <c r="J220" s="26">
        <v>214.39</v>
      </c>
      <c r="K220" s="26">
        <v>168.3</v>
      </c>
      <c r="L220" s="26">
        <v>59713.16</v>
      </c>
      <c r="M220" s="26">
        <v>3031.2</v>
      </c>
      <c r="N220" s="26">
        <v>1695.05</v>
      </c>
      <c r="O220" s="26">
        <v>166.89</v>
      </c>
      <c r="P220" s="26">
        <v>19955.169999999998</v>
      </c>
      <c r="Q220" s="26">
        <v>985.44</v>
      </c>
      <c r="R220" s="26">
        <v>755.5</v>
      </c>
      <c r="S220" s="26">
        <v>96.48</v>
      </c>
    </row>
    <row r="221" spans="1:19" ht="16.5" thickBot="1" x14ac:dyDescent="0.3">
      <c r="A221" s="89"/>
      <c r="B221" s="27" t="s">
        <v>262</v>
      </c>
      <c r="C221" s="26">
        <v>400</v>
      </c>
      <c r="D221" s="26">
        <v>408</v>
      </c>
      <c r="E221" s="26">
        <v>21</v>
      </c>
      <c r="F221" s="26">
        <v>21</v>
      </c>
      <c r="G221" s="26">
        <v>358</v>
      </c>
      <c r="H221" s="26">
        <v>193.5</v>
      </c>
      <c r="I221" s="26">
        <v>22</v>
      </c>
      <c r="J221" s="26">
        <v>250.69</v>
      </c>
      <c r="K221" s="26">
        <v>196.8</v>
      </c>
      <c r="L221" s="26">
        <v>70888.09</v>
      </c>
      <c r="M221" s="26">
        <v>3544.5</v>
      </c>
      <c r="N221" s="26">
        <v>1996.23</v>
      </c>
      <c r="O221" s="26">
        <v>168.16</v>
      </c>
      <c r="P221" s="26">
        <v>23809.25</v>
      </c>
      <c r="Q221" s="26">
        <v>1167.1199999999999</v>
      </c>
      <c r="R221" s="26">
        <v>896.87</v>
      </c>
      <c r="S221" s="26">
        <v>97.45</v>
      </c>
    </row>
    <row r="222" spans="1:19" ht="16.5" thickBot="1" x14ac:dyDescent="0.3">
      <c r="A222" s="87" t="s">
        <v>263</v>
      </c>
      <c r="B222" s="27" t="s">
        <v>264</v>
      </c>
      <c r="C222" s="26">
        <v>207</v>
      </c>
      <c r="D222" s="26">
        <v>133</v>
      </c>
      <c r="E222" s="26">
        <v>5.8</v>
      </c>
      <c r="F222" s="26">
        <v>8.4</v>
      </c>
      <c r="G222" s="26">
        <v>190.2</v>
      </c>
      <c r="H222" s="26">
        <v>63.6</v>
      </c>
      <c r="I222" s="26">
        <v>7.6</v>
      </c>
      <c r="J222" s="26">
        <v>33.869999999999997</v>
      </c>
      <c r="K222" s="26">
        <v>26.6</v>
      </c>
      <c r="L222" s="26">
        <v>2580.37</v>
      </c>
      <c r="M222" s="26">
        <v>249.3</v>
      </c>
      <c r="N222" s="26">
        <v>139.47999999999999</v>
      </c>
      <c r="O222" s="26">
        <v>87.28</v>
      </c>
      <c r="P222" s="26">
        <v>329.79</v>
      </c>
      <c r="Q222" s="26">
        <v>49.59</v>
      </c>
      <c r="R222" s="26">
        <v>38.06</v>
      </c>
      <c r="S222" s="26">
        <v>31.2</v>
      </c>
    </row>
    <row r="223" spans="1:19" ht="16.5" thickBot="1" x14ac:dyDescent="0.3">
      <c r="A223" s="88"/>
      <c r="B223" s="27" t="s">
        <v>265</v>
      </c>
      <c r="C223" s="26">
        <v>210</v>
      </c>
      <c r="D223" s="26">
        <v>134</v>
      </c>
      <c r="E223" s="26">
        <v>6.4</v>
      </c>
      <c r="F223" s="26">
        <v>10.199999999999999</v>
      </c>
      <c r="G223" s="26">
        <v>189.6</v>
      </c>
      <c r="H223" s="26">
        <v>63.8</v>
      </c>
      <c r="I223" s="26">
        <v>7.6</v>
      </c>
      <c r="J223" s="26">
        <v>39.97</v>
      </c>
      <c r="K223" s="26">
        <v>31.3</v>
      </c>
      <c r="L223" s="26">
        <v>3137</v>
      </c>
      <c r="M223" s="26">
        <v>298.8</v>
      </c>
      <c r="N223" s="26">
        <v>167.61</v>
      </c>
      <c r="O223" s="26">
        <v>88.6</v>
      </c>
      <c r="P223" s="26">
        <v>409.58</v>
      </c>
      <c r="Q223" s="26">
        <v>61.13</v>
      </c>
      <c r="R223" s="26">
        <v>46.88</v>
      </c>
      <c r="S223" s="26">
        <v>32.01</v>
      </c>
    </row>
    <row r="224" spans="1:19" ht="16.5" thickBot="1" x14ac:dyDescent="0.3">
      <c r="A224" s="88"/>
      <c r="B224" s="27" t="s">
        <v>266</v>
      </c>
      <c r="C224" s="26">
        <v>251</v>
      </c>
      <c r="D224" s="26">
        <v>146</v>
      </c>
      <c r="E224" s="26">
        <v>6</v>
      </c>
      <c r="F224" s="26">
        <v>8.6</v>
      </c>
      <c r="G224" s="26">
        <v>233.8</v>
      </c>
      <c r="H224" s="26">
        <v>70.05</v>
      </c>
      <c r="I224" s="26">
        <v>7.6</v>
      </c>
      <c r="J224" s="26">
        <v>39.64</v>
      </c>
      <c r="K224" s="26">
        <v>31.1</v>
      </c>
      <c r="L224" s="26">
        <v>4395.18</v>
      </c>
      <c r="M224" s="26">
        <v>351.1</v>
      </c>
      <c r="N224" s="26">
        <v>196.03</v>
      </c>
      <c r="O224" s="26">
        <v>105.3</v>
      </c>
      <c r="P224" s="26">
        <v>434.15</v>
      </c>
      <c r="Q224" s="26">
        <v>59.47</v>
      </c>
      <c r="R224" s="26">
        <v>47</v>
      </c>
      <c r="S224" s="26">
        <v>33.1</v>
      </c>
    </row>
    <row r="225" spans="1:19" ht="16.5" thickBot="1" x14ac:dyDescent="0.3">
      <c r="A225" s="88"/>
      <c r="B225" s="27" t="s">
        <v>267</v>
      </c>
      <c r="C225" s="26">
        <v>256</v>
      </c>
      <c r="D225" s="26">
        <v>146</v>
      </c>
      <c r="E225" s="26">
        <v>6.3</v>
      </c>
      <c r="F225" s="26">
        <v>10.9</v>
      </c>
      <c r="G225" s="26">
        <v>234.2</v>
      </c>
      <c r="H225" s="26">
        <v>70.05</v>
      </c>
      <c r="I225" s="26">
        <v>7.6</v>
      </c>
      <c r="J225" s="26">
        <v>47.08</v>
      </c>
      <c r="K225" s="26">
        <v>37</v>
      </c>
      <c r="L225" s="26">
        <v>5523.69</v>
      </c>
      <c r="M225" s="26">
        <v>432.6</v>
      </c>
      <c r="N225" s="26">
        <v>241.08</v>
      </c>
      <c r="O225" s="26">
        <v>108.32</v>
      </c>
      <c r="P225" s="26">
        <v>515.92999999999995</v>
      </c>
      <c r="Q225" s="26">
        <v>70.67</v>
      </c>
      <c r="R225" s="26">
        <v>59.37</v>
      </c>
      <c r="S225" s="26">
        <v>33.1</v>
      </c>
    </row>
    <row r="226" spans="1:19" ht="16.5" thickBot="1" x14ac:dyDescent="0.3">
      <c r="A226" s="88"/>
      <c r="B226" s="27" t="s">
        <v>268</v>
      </c>
      <c r="C226" s="26">
        <v>260</v>
      </c>
      <c r="D226" s="26">
        <v>147</v>
      </c>
      <c r="E226" s="26">
        <v>7.2</v>
      </c>
      <c r="F226" s="26">
        <v>12.7</v>
      </c>
      <c r="G226" s="26">
        <v>234.6</v>
      </c>
      <c r="H226" s="26">
        <v>70.05</v>
      </c>
      <c r="I226" s="26">
        <v>7.6</v>
      </c>
      <c r="J226" s="26">
        <v>54.73</v>
      </c>
      <c r="K226" s="26">
        <v>43</v>
      </c>
      <c r="L226" s="26">
        <v>6554.72</v>
      </c>
      <c r="M226" s="26">
        <v>504.1</v>
      </c>
      <c r="N226" s="26">
        <v>283.24</v>
      </c>
      <c r="O226" s="26">
        <v>109.44</v>
      </c>
      <c r="P226" s="26">
        <v>635.14</v>
      </c>
      <c r="Q226" s="26">
        <v>86.41</v>
      </c>
      <c r="R226" s="26">
        <v>70.260000000000005</v>
      </c>
      <c r="S226" s="26">
        <v>34.07</v>
      </c>
    </row>
    <row r="227" spans="1:19" ht="16.5" thickBot="1" x14ac:dyDescent="0.3">
      <c r="A227" s="88"/>
      <c r="B227" s="27" t="s">
        <v>269</v>
      </c>
      <c r="C227" s="26">
        <v>258</v>
      </c>
      <c r="D227" s="26">
        <v>146</v>
      </c>
      <c r="E227" s="26">
        <v>6.1</v>
      </c>
      <c r="F227" s="26">
        <v>9.1</v>
      </c>
      <c r="G227" s="26">
        <v>239.8</v>
      </c>
      <c r="H227" s="26">
        <v>69.95</v>
      </c>
      <c r="I227" s="26">
        <v>7.6</v>
      </c>
      <c r="J227" s="26">
        <v>41.7</v>
      </c>
      <c r="K227" s="26">
        <v>32.700000000000003</v>
      </c>
      <c r="L227" s="26">
        <v>4887.5</v>
      </c>
      <c r="M227" s="26">
        <v>378.9</v>
      </c>
      <c r="N227" s="26">
        <v>212.12</v>
      </c>
      <c r="O227" s="26">
        <v>108.27</v>
      </c>
      <c r="P227" s="26">
        <v>472.58</v>
      </c>
      <c r="Q227" s="26">
        <v>64.739999999999995</v>
      </c>
      <c r="R227" s="26">
        <v>49.73</v>
      </c>
      <c r="S227" s="26">
        <v>33.67</v>
      </c>
    </row>
    <row r="228" spans="1:19" ht="16.5" thickBot="1" x14ac:dyDescent="0.3">
      <c r="A228" s="88"/>
      <c r="B228" s="27" t="s">
        <v>270</v>
      </c>
      <c r="C228" s="26">
        <v>262</v>
      </c>
      <c r="D228" s="26">
        <v>147</v>
      </c>
      <c r="E228" s="26">
        <v>6.6</v>
      </c>
      <c r="F228" s="26">
        <v>11.2</v>
      </c>
      <c r="G228" s="26">
        <v>239.6</v>
      </c>
      <c r="H228" s="26">
        <v>70.2</v>
      </c>
      <c r="I228" s="26">
        <v>7.6</v>
      </c>
      <c r="J228" s="26">
        <v>49.24</v>
      </c>
      <c r="K228" s="26">
        <v>38.5</v>
      </c>
      <c r="L228" s="26">
        <v>6007.12</v>
      </c>
      <c r="M228" s="26">
        <v>458.6</v>
      </c>
      <c r="N228" s="26">
        <v>256.75</v>
      </c>
      <c r="O228" s="26">
        <v>110.45</v>
      </c>
      <c r="P228" s="26">
        <v>593.66</v>
      </c>
      <c r="Q228" s="26">
        <v>80.77</v>
      </c>
      <c r="R228" s="26">
        <v>61.93</v>
      </c>
      <c r="S228" s="26">
        <v>34.72</v>
      </c>
    </row>
    <row r="229" spans="1:19" ht="16.5" thickBot="1" x14ac:dyDescent="0.3">
      <c r="A229" s="88"/>
      <c r="B229" s="27" t="s">
        <v>271</v>
      </c>
      <c r="C229" s="26">
        <v>266</v>
      </c>
      <c r="D229" s="26">
        <v>148</v>
      </c>
      <c r="E229" s="26">
        <v>7.6</v>
      </c>
      <c r="F229" s="26">
        <v>13</v>
      </c>
      <c r="G229" s="26">
        <v>240</v>
      </c>
      <c r="H229" s="26">
        <v>70.2</v>
      </c>
      <c r="I229" s="26">
        <v>7.6</v>
      </c>
      <c r="J229" s="26">
        <v>57.22</v>
      </c>
      <c r="K229" s="26">
        <v>44.8</v>
      </c>
      <c r="L229" s="26">
        <v>7108.01</v>
      </c>
      <c r="M229" s="26">
        <v>534.4</v>
      </c>
      <c r="N229" s="26">
        <v>301.04000000000002</v>
      </c>
      <c r="O229" s="26">
        <v>111.46</v>
      </c>
      <c r="P229" s="26">
        <v>703.43</v>
      </c>
      <c r="Q229" s="26">
        <v>95.06</v>
      </c>
      <c r="R229" s="26">
        <v>73.06</v>
      </c>
      <c r="S229" s="26">
        <v>35.06</v>
      </c>
    </row>
    <row r="230" spans="1:19" ht="16.5" thickBot="1" x14ac:dyDescent="0.3">
      <c r="A230" s="88"/>
      <c r="B230" s="27" t="s">
        <v>272</v>
      </c>
      <c r="C230" s="26">
        <v>309</v>
      </c>
      <c r="D230" s="26">
        <v>102</v>
      </c>
      <c r="E230" s="26">
        <v>6</v>
      </c>
      <c r="F230" s="26">
        <v>8.9</v>
      </c>
      <c r="G230" s="26">
        <v>291.2</v>
      </c>
      <c r="H230" s="26">
        <v>48</v>
      </c>
      <c r="I230" s="26">
        <v>7.6</v>
      </c>
      <c r="J230" s="26">
        <v>36.119999999999997</v>
      </c>
      <c r="K230" s="26">
        <v>28.3</v>
      </c>
      <c r="L230" s="26">
        <v>5426.36</v>
      </c>
      <c r="M230" s="26">
        <v>351.2</v>
      </c>
      <c r="N230" s="26">
        <v>203.38</v>
      </c>
      <c r="O230" s="26">
        <v>122.56</v>
      </c>
      <c r="P230" s="26">
        <v>158.06</v>
      </c>
      <c r="Q230" s="26">
        <v>30.99</v>
      </c>
      <c r="R230" s="26">
        <v>24.58</v>
      </c>
      <c r="S230" s="26">
        <v>20.92</v>
      </c>
    </row>
    <row r="231" spans="1:19" ht="16.5" thickBot="1" x14ac:dyDescent="0.3">
      <c r="A231" s="88"/>
      <c r="B231" s="27" t="s">
        <v>273</v>
      </c>
      <c r="C231" s="26">
        <v>313</v>
      </c>
      <c r="D231" s="26">
        <v>102</v>
      </c>
      <c r="E231" s="26">
        <v>6.6</v>
      </c>
      <c r="F231" s="26">
        <v>10.8</v>
      </c>
      <c r="G231" s="26">
        <v>291.39999999999998</v>
      </c>
      <c r="H231" s="26">
        <v>47.7</v>
      </c>
      <c r="I231" s="26">
        <v>7.6</v>
      </c>
      <c r="J231" s="26">
        <v>41.76</v>
      </c>
      <c r="K231" s="26">
        <v>32.700000000000003</v>
      </c>
      <c r="L231" s="26">
        <v>6496.06</v>
      </c>
      <c r="M231" s="26">
        <v>415.1</v>
      </c>
      <c r="N231" s="26">
        <v>240.08</v>
      </c>
      <c r="O231" s="26">
        <v>124.72</v>
      </c>
      <c r="P231" s="26">
        <v>191.85</v>
      </c>
      <c r="Q231" s="26">
        <v>37.619999999999997</v>
      </c>
      <c r="R231" s="26">
        <v>29.8</v>
      </c>
      <c r="S231" s="26">
        <v>21.43</v>
      </c>
    </row>
    <row r="232" spans="1:19" ht="16.5" thickBot="1" x14ac:dyDescent="0.3">
      <c r="A232" s="88"/>
      <c r="B232" s="27" t="s">
        <v>274</v>
      </c>
      <c r="C232" s="26">
        <v>310</v>
      </c>
      <c r="D232" s="26">
        <v>165</v>
      </c>
      <c r="E232" s="26">
        <v>5.8</v>
      </c>
      <c r="F232" s="26">
        <v>9.6999999999999993</v>
      </c>
      <c r="G232" s="26">
        <v>290.60000000000002</v>
      </c>
      <c r="H232" s="26">
        <v>79.599999999999994</v>
      </c>
      <c r="I232" s="26">
        <v>8.9</v>
      </c>
      <c r="J232" s="26">
        <v>49.54</v>
      </c>
      <c r="K232" s="26">
        <v>38.700000000000003</v>
      </c>
      <c r="L232" s="26">
        <v>8544.9699999999993</v>
      </c>
      <c r="M232" s="26">
        <v>551.29999999999995</v>
      </c>
      <c r="N232" s="26">
        <v>306.41000000000003</v>
      </c>
      <c r="O232" s="26">
        <v>131.33000000000001</v>
      </c>
      <c r="P232" s="26">
        <v>726.88</v>
      </c>
      <c r="Q232" s="26">
        <v>88.11</v>
      </c>
      <c r="R232" s="26">
        <v>67.41</v>
      </c>
      <c r="S232" s="26">
        <v>38.299999999999997</v>
      </c>
    </row>
    <row r="233" spans="1:19" ht="16.5" thickBot="1" x14ac:dyDescent="0.3">
      <c r="A233" s="88"/>
      <c r="B233" s="27" t="s">
        <v>275</v>
      </c>
      <c r="C233" s="26">
        <v>313</v>
      </c>
      <c r="D233" s="26">
        <v>166</v>
      </c>
      <c r="E233" s="26">
        <v>6.6</v>
      </c>
      <c r="F233" s="26">
        <v>11.2</v>
      </c>
      <c r="G233" s="26">
        <v>290.60000000000002</v>
      </c>
      <c r="H233" s="26">
        <v>79.7</v>
      </c>
      <c r="I233" s="26">
        <v>8.9</v>
      </c>
      <c r="J233" s="26">
        <v>57.04</v>
      </c>
      <c r="K233" s="26">
        <v>44.5</v>
      </c>
      <c r="L233" s="26">
        <v>9960.39</v>
      </c>
      <c r="M233" s="26">
        <v>636.5</v>
      </c>
      <c r="N233" s="26">
        <v>355.1</v>
      </c>
      <c r="O233" s="26">
        <v>132.13999999999999</v>
      </c>
      <c r="P233" s="26">
        <v>854.77</v>
      </c>
      <c r="Q233" s="26">
        <v>102.98</v>
      </c>
      <c r="R233" s="26">
        <v>78.92</v>
      </c>
      <c r="S233" s="26">
        <v>38.71</v>
      </c>
    </row>
    <row r="234" spans="1:19" ht="16.5" thickBot="1" x14ac:dyDescent="0.3">
      <c r="A234" s="88"/>
      <c r="B234" s="27" t="s">
        <v>276</v>
      </c>
      <c r="C234" s="26">
        <v>317</v>
      </c>
      <c r="D234" s="26">
        <v>167</v>
      </c>
      <c r="E234" s="26">
        <v>7.6</v>
      </c>
      <c r="F234" s="26">
        <v>13.2</v>
      </c>
      <c r="G234" s="26">
        <v>290.60000000000002</v>
      </c>
      <c r="H234" s="26">
        <v>79.7</v>
      </c>
      <c r="I234" s="26">
        <v>8.9</v>
      </c>
      <c r="J234" s="26">
        <v>66.849999999999994</v>
      </c>
      <c r="K234" s="26">
        <v>52</v>
      </c>
      <c r="L234" s="26">
        <v>11873.01</v>
      </c>
      <c r="M234" s="26">
        <v>749.1</v>
      </c>
      <c r="N234" s="26">
        <v>419.95</v>
      </c>
      <c r="O234" s="26">
        <v>133.27000000000001</v>
      </c>
      <c r="P234" s="26">
        <v>1025.95</v>
      </c>
      <c r="Q234" s="26">
        <v>122.87</v>
      </c>
      <c r="R234" s="26">
        <v>94.33</v>
      </c>
      <c r="S234" s="26">
        <v>39.17</v>
      </c>
    </row>
    <row r="235" spans="1:19" ht="16.5" thickBot="1" x14ac:dyDescent="0.3">
      <c r="A235" s="88"/>
      <c r="B235" s="27" t="s">
        <v>277</v>
      </c>
      <c r="C235" s="26">
        <v>303</v>
      </c>
      <c r="D235" s="26">
        <v>165</v>
      </c>
      <c r="E235" s="26">
        <v>6</v>
      </c>
      <c r="F235" s="26">
        <v>10.199999999999999</v>
      </c>
      <c r="G235" s="26">
        <v>282.60000000000002</v>
      </c>
      <c r="H235" s="26">
        <v>79.5</v>
      </c>
      <c r="I235" s="26">
        <v>8.9</v>
      </c>
      <c r="J235" s="26">
        <v>51.3</v>
      </c>
      <c r="K235" s="26">
        <v>40.299999999999997</v>
      </c>
      <c r="L235" s="26">
        <v>8477.7000000000007</v>
      </c>
      <c r="M235" s="26">
        <v>560.5</v>
      </c>
      <c r="N235" s="26">
        <v>311.02</v>
      </c>
      <c r="O235" s="26">
        <v>128.56</v>
      </c>
      <c r="P235" s="26">
        <v>764.36</v>
      </c>
      <c r="Q235" s="26">
        <v>92.65</v>
      </c>
      <c r="R235" s="26">
        <v>70.87</v>
      </c>
      <c r="S235" s="26">
        <v>38.6</v>
      </c>
    </row>
    <row r="236" spans="1:19" ht="16.5" thickBot="1" x14ac:dyDescent="0.3">
      <c r="A236" s="88"/>
      <c r="B236" s="27" t="s">
        <v>278</v>
      </c>
      <c r="C236" s="26">
        <v>307</v>
      </c>
      <c r="D236" s="26">
        <v>166</v>
      </c>
      <c r="E236" s="26">
        <v>6.7</v>
      </c>
      <c r="F236" s="26">
        <v>11.8</v>
      </c>
      <c r="G236" s="26">
        <v>283.39999999999998</v>
      </c>
      <c r="H236" s="26">
        <v>79.5</v>
      </c>
      <c r="I236" s="26">
        <v>8.9</v>
      </c>
      <c r="J236" s="26">
        <v>58.84</v>
      </c>
      <c r="K236" s="26">
        <v>46.1</v>
      </c>
      <c r="L236" s="26">
        <v>9942.92</v>
      </c>
      <c r="M236" s="26">
        <v>645.70000000000005</v>
      </c>
      <c r="N236" s="26">
        <v>361.13</v>
      </c>
      <c r="O236" s="26">
        <v>129.99</v>
      </c>
      <c r="P236" s="26">
        <v>959</v>
      </c>
      <c r="Q236" s="26">
        <v>115.54</v>
      </c>
      <c r="R236" s="26">
        <v>83.06</v>
      </c>
      <c r="S236" s="26">
        <v>40.369999999999997</v>
      </c>
    </row>
    <row r="237" spans="1:19" ht="16.5" thickBot="1" x14ac:dyDescent="0.3">
      <c r="A237" s="88"/>
      <c r="B237" s="27" t="s">
        <v>279</v>
      </c>
      <c r="C237" s="26">
        <v>310</v>
      </c>
      <c r="D237" s="26">
        <v>167</v>
      </c>
      <c r="E237" s="26">
        <v>7.9</v>
      </c>
      <c r="F237" s="26">
        <v>13.7</v>
      </c>
      <c r="G237" s="26">
        <v>282.60000000000002</v>
      </c>
      <c r="H237" s="26">
        <v>79.5</v>
      </c>
      <c r="I237" s="26">
        <v>8.9</v>
      </c>
      <c r="J237" s="26">
        <v>68.760000000000005</v>
      </c>
      <c r="K237" s="26">
        <v>54</v>
      </c>
      <c r="L237" s="26">
        <v>11668.11</v>
      </c>
      <c r="M237" s="26">
        <v>753.6</v>
      </c>
      <c r="N237" s="26">
        <v>422.55</v>
      </c>
      <c r="O237" s="26">
        <v>130.26</v>
      </c>
      <c r="P237" s="26">
        <v>1084.57</v>
      </c>
      <c r="Q237" s="26">
        <v>129.88999999999999</v>
      </c>
      <c r="R237" s="26">
        <v>97.93</v>
      </c>
      <c r="S237" s="26">
        <v>39.71</v>
      </c>
    </row>
    <row r="238" spans="1:19" ht="16.5" thickBot="1" x14ac:dyDescent="0.3">
      <c r="A238" s="88"/>
      <c r="B238" s="27" t="s">
        <v>280</v>
      </c>
      <c r="C238" s="26">
        <v>349</v>
      </c>
      <c r="D238" s="26">
        <v>127</v>
      </c>
      <c r="E238" s="26">
        <v>5.8</v>
      </c>
      <c r="F238" s="26">
        <v>8.5</v>
      </c>
      <c r="G238" s="26">
        <v>332</v>
      </c>
      <c r="H238" s="26">
        <v>60.6</v>
      </c>
      <c r="I238" s="26">
        <v>10.199999999999999</v>
      </c>
      <c r="J238" s="26">
        <v>41.74</v>
      </c>
      <c r="K238" s="26">
        <v>32.9</v>
      </c>
      <c r="L238" s="26">
        <v>8267.33</v>
      </c>
      <c r="M238" s="26">
        <v>473.8</v>
      </c>
      <c r="N238" s="26">
        <v>271.01</v>
      </c>
      <c r="O238" s="26">
        <v>140.74</v>
      </c>
      <c r="P238" s="26">
        <v>291</v>
      </c>
      <c r="Q238" s="26">
        <v>45.83</v>
      </c>
      <c r="R238" s="26">
        <v>35.9</v>
      </c>
      <c r="S238" s="26">
        <v>26.4</v>
      </c>
    </row>
    <row r="239" spans="1:19" ht="16.5" thickBot="1" x14ac:dyDescent="0.3">
      <c r="A239" s="88"/>
      <c r="B239" s="27" t="s">
        <v>281</v>
      </c>
      <c r="C239" s="26">
        <v>353</v>
      </c>
      <c r="D239" s="26">
        <v>128</v>
      </c>
      <c r="E239" s="26">
        <v>6.5</v>
      </c>
      <c r="F239" s="26">
        <v>10.7</v>
      </c>
      <c r="G239" s="26">
        <v>331.6</v>
      </c>
      <c r="H239" s="26">
        <v>60.75</v>
      </c>
      <c r="I239" s="26">
        <v>10.199999999999999</v>
      </c>
      <c r="J239" s="26">
        <v>49.84</v>
      </c>
      <c r="K239" s="26">
        <v>39</v>
      </c>
      <c r="L239" s="26">
        <v>10240.24</v>
      </c>
      <c r="M239" s="26">
        <v>580.20000000000005</v>
      </c>
      <c r="N239" s="26">
        <v>331.05</v>
      </c>
      <c r="O239" s="26">
        <v>143.34</v>
      </c>
      <c r="P239" s="26">
        <v>375.06</v>
      </c>
      <c r="Q239" s="26">
        <v>58.6</v>
      </c>
      <c r="R239" s="26">
        <v>45.83</v>
      </c>
      <c r="S239" s="26">
        <v>27.43</v>
      </c>
    </row>
    <row r="240" spans="1:19" ht="16.5" thickBot="1" x14ac:dyDescent="0.3">
      <c r="A240" s="88"/>
      <c r="B240" s="27" t="s">
        <v>282</v>
      </c>
      <c r="C240" s="26">
        <v>352</v>
      </c>
      <c r="D240" s="26">
        <v>171</v>
      </c>
      <c r="E240" s="26">
        <v>6.9</v>
      </c>
      <c r="F240" s="26">
        <v>9.8000000000000007</v>
      </c>
      <c r="G240" s="26">
        <v>332.4</v>
      </c>
      <c r="H240" s="26">
        <v>82.05</v>
      </c>
      <c r="I240" s="26">
        <v>10.199999999999999</v>
      </c>
      <c r="J240" s="26">
        <v>57.34</v>
      </c>
      <c r="K240" s="26">
        <v>44.6</v>
      </c>
      <c r="L240" s="26">
        <v>12166.36</v>
      </c>
      <c r="M240" s="26">
        <v>691.3</v>
      </c>
      <c r="N240" s="26">
        <v>389.35</v>
      </c>
      <c r="O240" s="26">
        <v>145.66</v>
      </c>
      <c r="P240" s="26">
        <v>817.94</v>
      </c>
      <c r="Q240" s="26">
        <v>95.67</v>
      </c>
      <c r="R240" s="26">
        <v>73.87</v>
      </c>
      <c r="S240" s="26">
        <v>37.770000000000003</v>
      </c>
    </row>
    <row r="241" spans="1:19" ht="16.5" thickBot="1" x14ac:dyDescent="0.3">
      <c r="A241" s="88"/>
      <c r="B241" s="27" t="s">
        <v>283</v>
      </c>
      <c r="C241" s="26">
        <v>355</v>
      </c>
      <c r="D241" s="26">
        <v>171</v>
      </c>
      <c r="E241" s="26">
        <v>7.2</v>
      </c>
      <c r="F241" s="26">
        <v>11.6</v>
      </c>
      <c r="G241" s="26">
        <v>331.8</v>
      </c>
      <c r="H241" s="26">
        <v>81.900000000000006</v>
      </c>
      <c r="I241" s="26">
        <v>10.199999999999999</v>
      </c>
      <c r="J241" s="26">
        <v>64.45</v>
      </c>
      <c r="K241" s="26">
        <v>51</v>
      </c>
      <c r="L241" s="26">
        <v>14130.94</v>
      </c>
      <c r="M241" s="26">
        <v>796.1</v>
      </c>
      <c r="N241" s="26">
        <v>446.97</v>
      </c>
      <c r="O241" s="26">
        <v>148.07</v>
      </c>
      <c r="P241" s="26">
        <v>968.08</v>
      </c>
      <c r="Q241" s="26">
        <v>113.23</v>
      </c>
      <c r="R241" s="26">
        <v>87.21</v>
      </c>
      <c r="S241" s="26">
        <v>38.76</v>
      </c>
    </row>
    <row r="242" spans="1:19" ht="16.5" thickBot="1" x14ac:dyDescent="0.3">
      <c r="A242" s="88"/>
      <c r="B242" s="27" t="s">
        <v>284</v>
      </c>
      <c r="C242" s="26">
        <v>358</v>
      </c>
      <c r="D242" s="26">
        <v>172</v>
      </c>
      <c r="E242" s="26">
        <v>7.9</v>
      </c>
      <c r="F242" s="26">
        <v>13.1</v>
      </c>
      <c r="G242" s="26">
        <v>331.8</v>
      </c>
      <c r="H242" s="26">
        <v>82.05</v>
      </c>
      <c r="I242" s="26">
        <v>10.199999999999999</v>
      </c>
      <c r="J242" s="26">
        <v>72.17</v>
      </c>
      <c r="K242" s="26">
        <v>58</v>
      </c>
      <c r="L242" s="26">
        <v>16051.94</v>
      </c>
      <c r="M242" s="26">
        <v>896.8</v>
      </c>
      <c r="N242" s="26">
        <v>504.59</v>
      </c>
      <c r="O242" s="26">
        <v>149.13999999999999</v>
      </c>
      <c r="P242" s="26">
        <v>1112.72</v>
      </c>
      <c r="Q242" s="26">
        <v>129.38999999999999</v>
      </c>
      <c r="R242" s="26">
        <v>99.75</v>
      </c>
      <c r="S242" s="26">
        <v>39.270000000000003</v>
      </c>
    </row>
    <row r="243" spans="1:19" ht="16.5" thickBot="1" x14ac:dyDescent="0.3">
      <c r="A243" s="88"/>
      <c r="B243" s="27" t="s">
        <v>285</v>
      </c>
      <c r="C243" s="26">
        <v>363</v>
      </c>
      <c r="D243" s="26">
        <v>173.2</v>
      </c>
      <c r="E243" s="26">
        <v>9.1</v>
      </c>
      <c r="F243" s="26">
        <v>15.7</v>
      </c>
      <c r="G243" s="26">
        <v>331.6</v>
      </c>
      <c r="H243" s="26">
        <v>82.05</v>
      </c>
      <c r="I243" s="26">
        <v>10.199999999999999</v>
      </c>
      <c r="J243" s="26">
        <v>85.45</v>
      </c>
      <c r="K243" s="26">
        <v>67.099999999999994</v>
      </c>
      <c r="L243" s="26">
        <v>19414.43</v>
      </c>
      <c r="M243" s="26">
        <v>1071.2</v>
      </c>
      <c r="N243" s="26">
        <v>604.58000000000004</v>
      </c>
      <c r="O243" s="26">
        <v>150.72999999999999</v>
      </c>
      <c r="P243" s="26">
        <v>1362.07</v>
      </c>
      <c r="Q243" s="26">
        <v>157.28</v>
      </c>
      <c r="R243" s="26">
        <v>121.48</v>
      </c>
      <c r="S243" s="26">
        <v>39.92</v>
      </c>
    </row>
    <row r="244" spans="1:19" ht="16.5" thickBot="1" x14ac:dyDescent="0.3">
      <c r="A244" s="88"/>
      <c r="B244" s="27" t="s">
        <v>286</v>
      </c>
      <c r="C244" s="26">
        <v>353</v>
      </c>
      <c r="D244" s="26">
        <v>254</v>
      </c>
      <c r="E244" s="26">
        <v>9.5</v>
      </c>
      <c r="F244" s="26">
        <v>16.399999999999999</v>
      </c>
      <c r="G244" s="26">
        <v>320.2</v>
      </c>
      <c r="H244" s="26">
        <v>122.25</v>
      </c>
      <c r="I244" s="26">
        <v>16</v>
      </c>
      <c r="J244" s="26">
        <v>115.93</v>
      </c>
      <c r="K244" s="26">
        <v>91</v>
      </c>
      <c r="L244" s="26">
        <v>26754.31</v>
      </c>
      <c r="M244" s="26">
        <v>1515.9</v>
      </c>
      <c r="N244" s="26">
        <v>840.02</v>
      </c>
      <c r="O244" s="26">
        <v>151.91999999999999</v>
      </c>
      <c r="P244" s="26">
        <v>4483.1400000000003</v>
      </c>
      <c r="Q244" s="26">
        <v>353</v>
      </c>
      <c r="R244" s="26">
        <v>269.04000000000002</v>
      </c>
      <c r="S244" s="26">
        <v>62.19</v>
      </c>
    </row>
    <row r="245" spans="1:19" ht="16.5" thickBot="1" x14ac:dyDescent="0.3">
      <c r="A245" s="88"/>
      <c r="B245" s="27" t="s">
        <v>287</v>
      </c>
      <c r="C245" s="26">
        <v>357</v>
      </c>
      <c r="D245" s="26">
        <v>255</v>
      </c>
      <c r="E245" s="26">
        <v>10.5</v>
      </c>
      <c r="F245" s="26">
        <v>18.3</v>
      </c>
      <c r="G245" s="26">
        <v>320.39999999999998</v>
      </c>
      <c r="H245" s="26">
        <v>122.25</v>
      </c>
      <c r="I245" s="26">
        <v>16</v>
      </c>
      <c r="J245" s="26">
        <v>129.16999999999999</v>
      </c>
      <c r="K245" s="26">
        <v>101</v>
      </c>
      <c r="L245" s="26">
        <v>30209.81</v>
      </c>
      <c r="M245" s="26">
        <v>1692.5</v>
      </c>
      <c r="N245" s="26">
        <v>942.22</v>
      </c>
      <c r="O245" s="26">
        <v>152.93</v>
      </c>
      <c r="P245" s="26">
        <v>5062.32</v>
      </c>
      <c r="Q245" s="26">
        <v>397.04</v>
      </c>
      <c r="R245" s="26">
        <v>302.87</v>
      </c>
      <c r="S245" s="26">
        <v>62.6</v>
      </c>
    </row>
    <row r="246" spans="1:19" ht="16.5" thickBot="1" x14ac:dyDescent="0.3">
      <c r="A246" s="88"/>
      <c r="B246" s="27" t="s">
        <v>288</v>
      </c>
      <c r="C246" s="26">
        <v>360</v>
      </c>
      <c r="D246" s="26">
        <v>256</v>
      </c>
      <c r="E246" s="26">
        <v>11.4</v>
      </c>
      <c r="F246" s="26">
        <v>19.899999999999999</v>
      </c>
      <c r="G246" s="26">
        <v>320.2</v>
      </c>
      <c r="H246" s="26">
        <v>122.3</v>
      </c>
      <c r="I246" s="26">
        <v>16</v>
      </c>
      <c r="J246" s="26">
        <v>140.59</v>
      </c>
      <c r="K246" s="26">
        <v>110</v>
      </c>
      <c r="L246" s="26">
        <v>33153.980000000003</v>
      </c>
      <c r="M246" s="26">
        <v>1841.9</v>
      </c>
      <c r="N246" s="26">
        <v>1029.5999999999999</v>
      </c>
      <c r="O246" s="26">
        <v>153.57</v>
      </c>
      <c r="P246" s="26">
        <v>5570.48</v>
      </c>
      <c r="Q246" s="26">
        <v>435.19</v>
      </c>
      <c r="R246" s="26">
        <v>332.26</v>
      </c>
      <c r="S246" s="26">
        <v>62.95</v>
      </c>
    </row>
    <row r="247" spans="1:19" ht="16.5" thickBot="1" x14ac:dyDescent="0.3">
      <c r="A247" s="88"/>
      <c r="B247" s="27" t="s">
        <v>289</v>
      </c>
      <c r="C247" s="26">
        <v>363</v>
      </c>
      <c r="D247" s="26">
        <v>257</v>
      </c>
      <c r="E247" s="26">
        <v>13</v>
      </c>
      <c r="F247" s="26">
        <v>21.7</v>
      </c>
      <c r="G247" s="26">
        <v>319.60000000000002</v>
      </c>
      <c r="H247" s="26">
        <v>122</v>
      </c>
      <c r="I247" s="26">
        <v>16</v>
      </c>
      <c r="J247" s="26">
        <v>155.28</v>
      </c>
      <c r="K247" s="26">
        <v>122</v>
      </c>
      <c r="L247" s="26">
        <v>36598.339999999997</v>
      </c>
      <c r="M247" s="26">
        <v>2016.5</v>
      </c>
      <c r="N247" s="26">
        <v>1134.8499999999999</v>
      </c>
      <c r="O247" s="26">
        <v>153.52000000000001</v>
      </c>
      <c r="P247" s="26">
        <v>6147.42</v>
      </c>
      <c r="Q247" s="26">
        <v>478.4</v>
      </c>
      <c r="R247" s="26">
        <v>366.17</v>
      </c>
      <c r="S247" s="26">
        <v>62.92</v>
      </c>
    </row>
    <row r="248" spans="1:19" ht="16.5" thickBot="1" x14ac:dyDescent="0.3">
      <c r="A248" s="88"/>
      <c r="B248" s="27" t="s">
        <v>290</v>
      </c>
      <c r="C248" s="26">
        <v>399</v>
      </c>
      <c r="D248" s="26">
        <v>140</v>
      </c>
      <c r="E248" s="26">
        <v>6.4</v>
      </c>
      <c r="F248" s="26">
        <v>8.8000000000000007</v>
      </c>
      <c r="G248" s="26">
        <v>381.4</v>
      </c>
      <c r="H248" s="26">
        <v>66.8</v>
      </c>
      <c r="I248" s="26">
        <v>10.199999999999999</v>
      </c>
      <c r="J248" s="26">
        <v>49.94</v>
      </c>
      <c r="K248" s="26">
        <v>38.799999999999997</v>
      </c>
      <c r="L248" s="26">
        <v>12656.64</v>
      </c>
      <c r="M248" s="26">
        <v>634.4</v>
      </c>
      <c r="N248" s="26">
        <v>365.15</v>
      </c>
      <c r="O248" s="26">
        <v>159.19</v>
      </c>
      <c r="P248" s="26">
        <v>403.59</v>
      </c>
      <c r="Q248" s="26">
        <v>57.66</v>
      </c>
      <c r="R248" s="26">
        <v>45.32</v>
      </c>
      <c r="S248" s="26">
        <v>28.43</v>
      </c>
    </row>
    <row r="249" spans="1:19" ht="16.5" thickBot="1" x14ac:dyDescent="0.3">
      <c r="A249" s="88"/>
      <c r="B249" s="27" t="s">
        <v>291</v>
      </c>
      <c r="C249" s="26">
        <v>403</v>
      </c>
      <c r="D249" s="26">
        <v>140</v>
      </c>
      <c r="E249" s="26">
        <v>7</v>
      </c>
      <c r="F249" s="26">
        <v>11.2</v>
      </c>
      <c r="G249" s="26">
        <v>380.6</v>
      </c>
      <c r="H249" s="26">
        <v>66.5</v>
      </c>
      <c r="I249" s="26">
        <v>10.199999999999999</v>
      </c>
      <c r="J249" s="26">
        <v>58.9</v>
      </c>
      <c r="K249" s="26">
        <v>46.1</v>
      </c>
      <c r="L249" s="26">
        <v>15570.06</v>
      </c>
      <c r="M249" s="26">
        <v>772.7</v>
      </c>
      <c r="N249" s="26">
        <v>442.32</v>
      </c>
      <c r="O249" s="26">
        <v>162.59</v>
      </c>
      <c r="P249" s="26">
        <v>513.63</v>
      </c>
      <c r="Q249" s="26">
        <v>73.38</v>
      </c>
      <c r="R249" s="26">
        <v>57.47</v>
      </c>
      <c r="S249" s="26">
        <v>29.53</v>
      </c>
    </row>
    <row r="250" spans="1:19" ht="16.5" thickBot="1" x14ac:dyDescent="0.3">
      <c r="A250" s="88"/>
      <c r="B250" s="27" t="s">
        <v>292</v>
      </c>
      <c r="C250" s="26">
        <v>403</v>
      </c>
      <c r="D250" s="26">
        <v>177</v>
      </c>
      <c r="E250" s="26">
        <v>7.5</v>
      </c>
      <c r="F250" s="26">
        <v>10.9</v>
      </c>
      <c r="G250" s="26">
        <v>381.2</v>
      </c>
      <c r="H250" s="26">
        <v>84.75</v>
      </c>
      <c r="I250" s="26">
        <v>10.199999999999999</v>
      </c>
      <c r="J250" s="26">
        <v>68.069999999999993</v>
      </c>
      <c r="K250" s="26">
        <v>53</v>
      </c>
      <c r="L250" s="26">
        <v>18613.439999999999</v>
      </c>
      <c r="M250" s="26">
        <v>923.8</v>
      </c>
      <c r="N250" s="26">
        <v>522.88</v>
      </c>
      <c r="O250" s="26">
        <v>165.36</v>
      </c>
      <c r="P250" s="26">
        <v>1009.08</v>
      </c>
      <c r="Q250" s="26">
        <v>114.02</v>
      </c>
      <c r="R250" s="26">
        <v>88.32</v>
      </c>
      <c r="S250" s="26">
        <v>38.5</v>
      </c>
    </row>
    <row r="251" spans="1:19" ht="16.5" thickBot="1" x14ac:dyDescent="0.3">
      <c r="A251" s="88"/>
      <c r="B251" s="27" t="s">
        <v>293</v>
      </c>
      <c r="C251" s="26">
        <v>407</v>
      </c>
      <c r="D251" s="26">
        <v>178</v>
      </c>
      <c r="E251" s="26">
        <v>7.7</v>
      </c>
      <c r="F251" s="26">
        <v>12.8</v>
      </c>
      <c r="G251" s="26">
        <v>381.4</v>
      </c>
      <c r="H251" s="26">
        <v>85.15</v>
      </c>
      <c r="I251" s="26">
        <v>10.199999999999999</v>
      </c>
      <c r="J251" s="26">
        <v>75.83</v>
      </c>
      <c r="K251" s="26">
        <v>60</v>
      </c>
      <c r="L251" s="26">
        <v>21585.78</v>
      </c>
      <c r="M251" s="26">
        <v>1060.8</v>
      </c>
      <c r="N251" s="26">
        <v>597.5</v>
      </c>
      <c r="O251" s="26">
        <v>168.72</v>
      </c>
      <c r="P251" s="26">
        <v>1204.97</v>
      </c>
      <c r="Q251" s="26">
        <v>135.38999999999999</v>
      </c>
      <c r="R251" s="26">
        <v>104.49</v>
      </c>
      <c r="S251" s="26">
        <v>39.86</v>
      </c>
    </row>
    <row r="252" spans="1:19" ht="16.5" thickBot="1" x14ac:dyDescent="0.3">
      <c r="A252" s="88"/>
      <c r="B252" s="27" t="s">
        <v>294</v>
      </c>
      <c r="C252" s="26">
        <v>410</v>
      </c>
      <c r="D252" s="26">
        <v>179</v>
      </c>
      <c r="E252" s="26">
        <v>8.8000000000000007</v>
      </c>
      <c r="F252" s="26">
        <v>14.4</v>
      </c>
      <c r="G252" s="26">
        <v>381.2</v>
      </c>
      <c r="H252" s="26">
        <v>85.1</v>
      </c>
      <c r="I252" s="26">
        <v>10.199999999999999</v>
      </c>
      <c r="J252" s="26">
        <v>85.99</v>
      </c>
      <c r="K252" s="26">
        <v>67</v>
      </c>
      <c r="L252" s="26">
        <v>24557.5</v>
      </c>
      <c r="M252" s="26">
        <v>1198</v>
      </c>
      <c r="N252" s="26">
        <v>678.1</v>
      </c>
      <c r="O252" s="26">
        <v>168.99</v>
      </c>
      <c r="P252" s="26">
        <v>1379.08</v>
      </c>
      <c r="Q252" s="26">
        <v>154.09</v>
      </c>
      <c r="R252" s="26">
        <v>119.34</v>
      </c>
      <c r="S252" s="26">
        <v>40.049999999999997</v>
      </c>
    </row>
    <row r="253" spans="1:19" ht="16.5" thickBot="1" x14ac:dyDescent="0.3">
      <c r="A253" s="88"/>
      <c r="B253" s="27" t="s">
        <v>295</v>
      </c>
      <c r="C253" s="26">
        <v>413</v>
      </c>
      <c r="D253" s="26">
        <v>180</v>
      </c>
      <c r="E253" s="26">
        <v>9.6999999999999993</v>
      </c>
      <c r="F253" s="26">
        <v>16</v>
      </c>
      <c r="G253" s="26">
        <v>381</v>
      </c>
      <c r="H253" s="26">
        <v>85.15</v>
      </c>
      <c r="I253" s="26">
        <v>10.199999999999999</v>
      </c>
      <c r="J253" s="26">
        <v>95.45</v>
      </c>
      <c r="K253" s="26">
        <v>75</v>
      </c>
      <c r="L253" s="26">
        <v>27495.01</v>
      </c>
      <c r="M253" s="26">
        <v>1331.5</v>
      </c>
      <c r="N253" s="26">
        <v>756.09</v>
      </c>
      <c r="O253" s="26">
        <v>169.72</v>
      </c>
      <c r="P253" s="26">
        <v>1558.58</v>
      </c>
      <c r="Q253" s="26">
        <v>173.18</v>
      </c>
      <c r="R253" s="26">
        <v>134.4</v>
      </c>
      <c r="S253" s="26">
        <v>40.409999999999997</v>
      </c>
    </row>
    <row r="254" spans="1:19" ht="16.5" thickBot="1" x14ac:dyDescent="0.3">
      <c r="A254" s="88"/>
      <c r="B254" s="27" t="s">
        <v>296</v>
      </c>
      <c r="C254" s="26">
        <v>417</v>
      </c>
      <c r="D254" s="26">
        <v>181</v>
      </c>
      <c r="E254" s="26">
        <v>10.9</v>
      </c>
      <c r="F254" s="26">
        <v>18.2</v>
      </c>
      <c r="G254" s="26">
        <v>380.6</v>
      </c>
      <c r="H254" s="26">
        <v>85.05</v>
      </c>
      <c r="I254" s="26">
        <v>10.199999999999999</v>
      </c>
      <c r="J254" s="26">
        <v>108.26</v>
      </c>
      <c r="K254" s="26">
        <v>85</v>
      </c>
      <c r="L254" s="26">
        <v>31537.51</v>
      </c>
      <c r="M254" s="26">
        <v>1512.6</v>
      </c>
      <c r="N254" s="26">
        <v>862.63</v>
      </c>
      <c r="O254" s="26">
        <v>170.68</v>
      </c>
      <c r="P254" s="26">
        <v>1803.36</v>
      </c>
      <c r="Q254" s="26">
        <v>199.27</v>
      </c>
      <c r="R254" s="26">
        <v>155.06</v>
      </c>
      <c r="S254" s="26">
        <v>40.81</v>
      </c>
    </row>
    <row r="255" spans="1:19" ht="16.5" thickBot="1" x14ac:dyDescent="0.3">
      <c r="A255" s="88"/>
      <c r="B255" s="27" t="s">
        <v>297</v>
      </c>
      <c r="C255" s="26">
        <v>450</v>
      </c>
      <c r="D255" s="26">
        <v>152</v>
      </c>
      <c r="E255" s="26">
        <v>7.6</v>
      </c>
      <c r="F255" s="26">
        <v>10.8</v>
      </c>
      <c r="G255" s="26">
        <v>428.4</v>
      </c>
      <c r="H255" s="26">
        <v>72.2</v>
      </c>
      <c r="I255" s="26">
        <v>10.199999999999999</v>
      </c>
      <c r="J255" s="26">
        <v>66.28</v>
      </c>
      <c r="K255" s="26">
        <v>52</v>
      </c>
      <c r="L255" s="26">
        <v>21216.720000000001</v>
      </c>
      <c r="M255" s="26">
        <v>943</v>
      </c>
      <c r="N255" s="26">
        <v>544.30999999999995</v>
      </c>
      <c r="O255" s="26">
        <v>178.91</v>
      </c>
      <c r="P255" s="26">
        <v>634.04999999999995</v>
      </c>
      <c r="Q255" s="26">
        <v>83.43</v>
      </c>
      <c r="R255" s="26">
        <v>65.75</v>
      </c>
      <c r="S255" s="26">
        <v>30.93</v>
      </c>
    </row>
    <row r="256" spans="1:19" ht="16.5" thickBot="1" x14ac:dyDescent="0.3">
      <c r="A256" s="88"/>
      <c r="B256" s="27" t="s">
        <v>298</v>
      </c>
      <c r="C256" s="26">
        <v>455</v>
      </c>
      <c r="D256" s="26">
        <v>153</v>
      </c>
      <c r="E256" s="26">
        <v>8</v>
      </c>
      <c r="F256" s="26">
        <v>13.3</v>
      </c>
      <c r="G256" s="26">
        <v>428.4</v>
      </c>
      <c r="H256" s="26">
        <v>72.5</v>
      </c>
      <c r="I256" s="26">
        <v>10.199999999999999</v>
      </c>
      <c r="J256" s="26">
        <v>75.86</v>
      </c>
      <c r="K256" s="26">
        <v>60</v>
      </c>
      <c r="L256" s="26">
        <v>25498.98</v>
      </c>
      <c r="M256" s="26">
        <v>1120.9000000000001</v>
      </c>
      <c r="N256" s="26">
        <v>642.4</v>
      </c>
      <c r="O256" s="26">
        <v>183.34</v>
      </c>
      <c r="P256" s="26">
        <v>796.13</v>
      </c>
      <c r="Q256" s="26">
        <v>104.07</v>
      </c>
      <c r="R256" s="26">
        <v>81.540000000000006</v>
      </c>
      <c r="S256" s="26">
        <v>32.39</v>
      </c>
    </row>
    <row r="257" spans="1:19" ht="16.5" thickBot="1" x14ac:dyDescent="0.3">
      <c r="A257" s="88"/>
      <c r="B257" s="27" t="s">
        <v>299</v>
      </c>
      <c r="C257" s="26">
        <v>459</v>
      </c>
      <c r="D257" s="26">
        <v>154</v>
      </c>
      <c r="E257" s="26">
        <v>9.1</v>
      </c>
      <c r="F257" s="26">
        <v>15.4</v>
      </c>
      <c r="G257" s="26">
        <v>428.2</v>
      </c>
      <c r="H257" s="26">
        <v>72.45</v>
      </c>
      <c r="I257" s="26">
        <v>10.199999999999999</v>
      </c>
      <c r="J257" s="26">
        <v>87.29</v>
      </c>
      <c r="K257" s="26">
        <v>68</v>
      </c>
      <c r="L257" s="26">
        <v>29698.29</v>
      </c>
      <c r="M257" s="26">
        <v>1294.0999999999999</v>
      </c>
      <c r="N257" s="26">
        <v>744.05</v>
      </c>
      <c r="O257" s="26">
        <v>184.45</v>
      </c>
      <c r="P257" s="26">
        <v>940.55</v>
      </c>
      <c r="Q257" s="26">
        <v>122.15</v>
      </c>
      <c r="R257" s="26">
        <v>96.04</v>
      </c>
      <c r="S257" s="26">
        <v>32.83</v>
      </c>
    </row>
    <row r="258" spans="1:19" ht="16.5" thickBot="1" x14ac:dyDescent="0.3">
      <c r="A258" s="88"/>
      <c r="B258" s="27" t="s">
        <v>300</v>
      </c>
      <c r="C258" s="26">
        <v>462</v>
      </c>
      <c r="D258" s="26">
        <v>154.4</v>
      </c>
      <c r="E258" s="26">
        <v>9.6</v>
      </c>
      <c r="F258" s="26">
        <v>17</v>
      </c>
      <c r="G258" s="26">
        <v>428</v>
      </c>
      <c r="H258" s="26">
        <v>72.400000000000006</v>
      </c>
      <c r="I258" s="26">
        <v>10.199999999999999</v>
      </c>
      <c r="J258" s="26">
        <v>94.48</v>
      </c>
      <c r="K258" s="26">
        <v>74.2</v>
      </c>
      <c r="L258" s="26">
        <v>32674.03</v>
      </c>
      <c r="M258" s="26">
        <v>1414.5</v>
      </c>
      <c r="N258" s="26">
        <v>813.29</v>
      </c>
      <c r="O258" s="26">
        <v>185.97</v>
      </c>
      <c r="P258" s="26">
        <v>1046.53</v>
      </c>
      <c r="Q258" s="26">
        <v>135.56</v>
      </c>
      <c r="R258" s="26">
        <v>106.56</v>
      </c>
      <c r="S258" s="26">
        <v>33.28</v>
      </c>
    </row>
    <row r="259" spans="1:19" ht="16.5" thickBot="1" x14ac:dyDescent="0.3">
      <c r="A259" s="88"/>
      <c r="B259" s="27" t="s">
        <v>301</v>
      </c>
      <c r="C259" s="26">
        <v>466</v>
      </c>
      <c r="D259" s="26">
        <v>155.30000000000001</v>
      </c>
      <c r="E259" s="26">
        <v>10.5</v>
      </c>
      <c r="F259" s="26">
        <v>18.899999999999999</v>
      </c>
      <c r="G259" s="26">
        <v>428.2</v>
      </c>
      <c r="H259" s="26">
        <v>72.400000000000006</v>
      </c>
      <c r="I259" s="26">
        <v>10.199999999999999</v>
      </c>
      <c r="J259" s="26">
        <v>104.56</v>
      </c>
      <c r="K259" s="26">
        <v>82.1</v>
      </c>
      <c r="L259" s="26">
        <v>36624.879999999997</v>
      </c>
      <c r="M259" s="26">
        <v>1571</v>
      </c>
      <c r="N259" s="26">
        <v>906.27</v>
      </c>
      <c r="O259" s="26">
        <v>187.16</v>
      </c>
      <c r="P259" s="26">
        <v>1184.51</v>
      </c>
      <c r="Q259" s="26">
        <v>152.55000000000001</v>
      </c>
      <c r="R259" s="26">
        <v>120.2</v>
      </c>
      <c r="S259" s="26">
        <v>33.659999999999997</v>
      </c>
    </row>
    <row r="260" spans="1:19" ht="16.5" thickBot="1" x14ac:dyDescent="0.3">
      <c r="A260" s="88"/>
      <c r="B260" s="27" t="s">
        <v>302</v>
      </c>
      <c r="C260" s="26">
        <v>453</v>
      </c>
      <c r="D260" s="26">
        <v>189.9</v>
      </c>
      <c r="E260" s="26">
        <v>8.5</v>
      </c>
      <c r="F260" s="26">
        <v>12.7</v>
      </c>
      <c r="G260" s="26">
        <v>427.6</v>
      </c>
      <c r="H260" s="26">
        <v>90.7</v>
      </c>
      <c r="I260" s="26">
        <v>10.199999999999999</v>
      </c>
      <c r="J260" s="26">
        <v>85.47</v>
      </c>
      <c r="K260" s="26">
        <v>67.099999999999994</v>
      </c>
      <c r="L260" s="26">
        <v>29321.46</v>
      </c>
      <c r="M260" s="26">
        <v>1296</v>
      </c>
      <c r="N260" s="26">
        <v>734.66</v>
      </c>
      <c r="O260" s="26">
        <v>185.22</v>
      </c>
      <c r="P260" s="26">
        <v>1452.13</v>
      </c>
      <c r="Q260" s="26">
        <v>152.94</v>
      </c>
      <c r="R260" s="26">
        <v>118.65</v>
      </c>
      <c r="S260" s="26">
        <v>41.22</v>
      </c>
    </row>
    <row r="261" spans="1:19" ht="16.5" thickBot="1" x14ac:dyDescent="0.3">
      <c r="A261" s="88"/>
      <c r="B261" s="27" t="s">
        <v>303</v>
      </c>
      <c r="C261" s="26">
        <v>457</v>
      </c>
      <c r="D261" s="26">
        <v>190</v>
      </c>
      <c r="E261" s="26">
        <v>9</v>
      </c>
      <c r="F261" s="26">
        <v>14.5</v>
      </c>
      <c r="G261" s="26">
        <v>428</v>
      </c>
      <c r="H261" s="26">
        <v>90.5</v>
      </c>
      <c r="I261" s="26">
        <v>10.199999999999999</v>
      </c>
      <c r="J261" s="26">
        <v>94.51</v>
      </c>
      <c r="K261" s="26">
        <v>74</v>
      </c>
      <c r="L261" s="26">
        <v>33262.54</v>
      </c>
      <c r="M261" s="26">
        <v>1455.7</v>
      </c>
      <c r="N261" s="26">
        <v>825.08</v>
      </c>
      <c r="O261" s="26">
        <v>187.6</v>
      </c>
      <c r="P261" s="26">
        <v>1660.63</v>
      </c>
      <c r="Q261" s="26">
        <v>174.8</v>
      </c>
      <c r="R261" s="26">
        <v>135.5</v>
      </c>
      <c r="S261" s="26">
        <v>41.92</v>
      </c>
    </row>
    <row r="262" spans="1:19" ht="16.5" thickBot="1" x14ac:dyDescent="0.3">
      <c r="A262" s="88"/>
      <c r="B262" s="27" t="s">
        <v>304</v>
      </c>
      <c r="C262" s="26">
        <v>460</v>
      </c>
      <c r="D262" s="26">
        <v>191</v>
      </c>
      <c r="E262" s="26">
        <v>9.9</v>
      </c>
      <c r="F262" s="26">
        <v>16</v>
      </c>
      <c r="G262" s="26">
        <v>428</v>
      </c>
      <c r="H262" s="26">
        <v>90.55</v>
      </c>
      <c r="I262" s="26">
        <v>10.199999999999999</v>
      </c>
      <c r="J262" s="26">
        <v>104.39</v>
      </c>
      <c r="K262" s="26">
        <v>82</v>
      </c>
      <c r="L262" s="26">
        <v>37004.019999999997</v>
      </c>
      <c r="M262" s="26">
        <v>1608.9</v>
      </c>
      <c r="N262" s="26">
        <v>914.58</v>
      </c>
      <c r="O262" s="26">
        <v>188.28</v>
      </c>
      <c r="P262" s="26">
        <v>1862.06</v>
      </c>
      <c r="Q262" s="26">
        <v>194.98</v>
      </c>
      <c r="R262" s="26">
        <v>151.49</v>
      </c>
      <c r="S262" s="26">
        <v>42.24</v>
      </c>
    </row>
    <row r="263" spans="1:19" ht="16.5" thickBot="1" x14ac:dyDescent="0.3">
      <c r="A263" s="88"/>
      <c r="B263" s="27" t="s">
        <v>305</v>
      </c>
      <c r="C263" s="26">
        <v>463</v>
      </c>
      <c r="D263" s="26">
        <v>192</v>
      </c>
      <c r="E263" s="26">
        <v>10.5</v>
      </c>
      <c r="F263" s="26">
        <v>17.7</v>
      </c>
      <c r="G263" s="26">
        <v>427.6</v>
      </c>
      <c r="H263" s="26">
        <v>90.75</v>
      </c>
      <c r="I263" s="26">
        <v>10.199999999999999</v>
      </c>
      <c r="J263" s="26">
        <v>113.76</v>
      </c>
      <c r="K263" s="26">
        <v>89</v>
      </c>
      <c r="L263" s="26">
        <v>40952.18</v>
      </c>
      <c r="M263" s="26">
        <v>1769</v>
      </c>
      <c r="N263" s="26">
        <v>1006.08</v>
      </c>
      <c r="O263" s="26">
        <v>189.73</v>
      </c>
      <c r="P263" s="26">
        <v>2092.64</v>
      </c>
      <c r="Q263" s="26">
        <v>217.98</v>
      </c>
      <c r="R263" s="26">
        <v>169.35</v>
      </c>
      <c r="S263" s="26">
        <v>42.89</v>
      </c>
    </row>
    <row r="264" spans="1:19" ht="16.5" thickBot="1" x14ac:dyDescent="0.3">
      <c r="A264" s="88"/>
      <c r="B264" s="27" t="s">
        <v>306</v>
      </c>
      <c r="C264" s="26">
        <v>466</v>
      </c>
      <c r="D264" s="26">
        <v>193</v>
      </c>
      <c r="E264" s="26">
        <v>11.4</v>
      </c>
      <c r="F264" s="26">
        <v>19</v>
      </c>
      <c r="G264" s="26">
        <v>428</v>
      </c>
      <c r="H264" s="26">
        <v>90.8</v>
      </c>
      <c r="I264" s="26">
        <v>10.199999999999999</v>
      </c>
      <c r="J264" s="26">
        <v>123.03</v>
      </c>
      <c r="K264" s="26">
        <v>97</v>
      </c>
      <c r="L264" s="26">
        <v>44505.67</v>
      </c>
      <c r="M264" s="26">
        <v>1910.1</v>
      </c>
      <c r="N264" s="26">
        <v>1090.07</v>
      </c>
      <c r="O264" s="26">
        <v>190.2</v>
      </c>
      <c r="P264" s="26">
        <v>2282.42</v>
      </c>
      <c r="Q264" s="26">
        <v>236.52</v>
      </c>
      <c r="R264" s="26">
        <v>184.24</v>
      </c>
      <c r="S264" s="26">
        <v>43.07</v>
      </c>
    </row>
    <row r="265" spans="1:19" ht="16.5" thickBot="1" x14ac:dyDescent="0.3">
      <c r="A265" s="88"/>
      <c r="B265" s="27" t="s">
        <v>307</v>
      </c>
      <c r="C265" s="26">
        <v>469</v>
      </c>
      <c r="D265" s="26">
        <v>194</v>
      </c>
      <c r="E265" s="26">
        <v>12.6</v>
      </c>
      <c r="F265" s="26">
        <v>20.6</v>
      </c>
      <c r="G265" s="26">
        <v>427.8</v>
      </c>
      <c r="H265" s="26">
        <v>90.7</v>
      </c>
      <c r="I265" s="26">
        <v>10.199999999999999</v>
      </c>
      <c r="J265" s="26">
        <v>134.72</v>
      </c>
      <c r="K265" s="26">
        <v>106</v>
      </c>
      <c r="L265" s="26">
        <v>48825.33</v>
      </c>
      <c r="M265" s="26">
        <v>2082.1</v>
      </c>
      <c r="N265" s="26">
        <v>1193.69</v>
      </c>
      <c r="O265" s="26">
        <v>190.37</v>
      </c>
      <c r="P265" s="26">
        <v>2514.63</v>
      </c>
      <c r="Q265" s="26">
        <v>259.24</v>
      </c>
      <c r="R265" s="26">
        <v>202.7</v>
      </c>
      <c r="S265" s="26">
        <v>43.2</v>
      </c>
    </row>
    <row r="266" spans="1:19" ht="16.5" thickBot="1" x14ac:dyDescent="0.3">
      <c r="A266" s="88"/>
      <c r="B266" s="27" t="s">
        <v>308</v>
      </c>
      <c r="C266" s="26">
        <v>533</v>
      </c>
      <c r="D266" s="26">
        <v>209</v>
      </c>
      <c r="E266" s="26">
        <v>10.199999999999999</v>
      </c>
      <c r="F266" s="26">
        <v>15.6</v>
      </c>
      <c r="G266" s="26">
        <v>501.8</v>
      </c>
      <c r="H266" s="26">
        <v>99.4</v>
      </c>
      <c r="I266" s="26">
        <v>12.7</v>
      </c>
      <c r="J266" s="26">
        <v>117.78</v>
      </c>
      <c r="K266" s="26">
        <v>92.5</v>
      </c>
      <c r="L266" s="26">
        <v>55247.88</v>
      </c>
      <c r="M266" s="26">
        <v>2073.09</v>
      </c>
      <c r="N266" s="26">
        <v>1181.72</v>
      </c>
      <c r="O266" s="26">
        <v>216.59</v>
      </c>
      <c r="P266" s="26">
        <v>2378.94</v>
      </c>
      <c r="Q266" s="26">
        <v>227.65</v>
      </c>
      <c r="R266" s="26">
        <v>177.43</v>
      </c>
      <c r="S266" s="26">
        <v>44.94</v>
      </c>
    </row>
    <row r="267" spans="1:19" ht="16.5" thickBot="1" x14ac:dyDescent="0.3">
      <c r="A267" s="88"/>
      <c r="B267" s="27" t="s">
        <v>309</v>
      </c>
      <c r="C267" s="26">
        <v>537</v>
      </c>
      <c r="D267" s="26">
        <v>210</v>
      </c>
      <c r="E267" s="26">
        <v>10.9</v>
      </c>
      <c r="F267" s="26">
        <v>17.399999999999999</v>
      </c>
      <c r="G267" s="26">
        <v>502.2</v>
      </c>
      <c r="H267" s="26">
        <v>99.6</v>
      </c>
      <c r="I267" s="26">
        <v>12.7</v>
      </c>
      <c r="J267" s="26">
        <v>129.19999999999999</v>
      </c>
      <c r="K267" s="26">
        <v>101.4</v>
      </c>
      <c r="L267" s="26">
        <v>61704.21</v>
      </c>
      <c r="M267" s="26">
        <v>2298.11</v>
      </c>
      <c r="N267" s="26">
        <v>1310.1600000000001</v>
      </c>
      <c r="O267" s="26">
        <v>218.53</v>
      </c>
      <c r="P267" s="26">
        <v>2692.06</v>
      </c>
      <c r="Q267" s="26">
        <v>256.39</v>
      </c>
      <c r="R267" s="26">
        <v>199.87</v>
      </c>
      <c r="S267" s="26">
        <v>45.65</v>
      </c>
    </row>
    <row r="268" spans="1:19" ht="16.5" thickBot="1" x14ac:dyDescent="0.3">
      <c r="A268" s="88"/>
      <c r="B268" s="27" t="s">
        <v>310</v>
      </c>
      <c r="C268" s="26">
        <v>539</v>
      </c>
      <c r="D268" s="26">
        <v>211</v>
      </c>
      <c r="E268" s="26">
        <v>11.6</v>
      </c>
      <c r="F268" s="26">
        <v>18.8</v>
      </c>
      <c r="G268" s="26">
        <v>501.4</v>
      </c>
      <c r="H268" s="26">
        <v>99.7</v>
      </c>
      <c r="I268" s="26">
        <v>12.7</v>
      </c>
      <c r="J268" s="26">
        <v>138.88</v>
      </c>
      <c r="K268" s="26">
        <v>109</v>
      </c>
      <c r="L268" s="26">
        <v>66733.09</v>
      </c>
      <c r="M268" s="26">
        <v>2476.1799999999998</v>
      </c>
      <c r="N268" s="26">
        <v>1413.49</v>
      </c>
      <c r="O268" s="26">
        <v>219.2</v>
      </c>
      <c r="P268" s="26">
        <v>2950.99</v>
      </c>
      <c r="Q268" s="26">
        <v>279.70999999999998</v>
      </c>
      <c r="R268" s="26">
        <v>218.28</v>
      </c>
      <c r="S268" s="26">
        <v>46.1</v>
      </c>
    </row>
    <row r="269" spans="1:19" ht="16.5" thickBot="1" x14ac:dyDescent="0.3">
      <c r="A269" s="88"/>
      <c r="B269" s="27" t="s">
        <v>311</v>
      </c>
      <c r="C269" s="26">
        <v>544</v>
      </c>
      <c r="D269" s="26">
        <v>212</v>
      </c>
      <c r="E269" s="26">
        <v>13.1</v>
      </c>
      <c r="F269" s="26">
        <v>21.2</v>
      </c>
      <c r="G269" s="26">
        <v>501.6</v>
      </c>
      <c r="H269" s="26">
        <v>99.5</v>
      </c>
      <c r="I269" s="26">
        <v>12.7</v>
      </c>
      <c r="J269" s="26">
        <v>156.97999999999999</v>
      </c>
      <c r="K269" s="26">
        <v>123.2</v>
      </c>
      <c r="L269" s="26">
        <v>76084.25</v>
      </c>
      <c r="M269" s="26">
        <v>2797.22</v>
      </c>
      <c r="N269" s="26">
        <v>1604.03</v>
      </c>
      <c r="O269" s="26">
        <v>220.15</v>
      </c>
      <c r="P269" s="26">
        <v>3377.22</v>
      </c>
      <c r="Q269" s="26">
        <v>318.61</v>
      </c>
      <c r="R269" s="26">
        <v>249.61</v>
      </c>
      <c r="S269" s="26">
        <v>46.38</v>
      </c>
    </row>
    <row r="270" spans="1:19" ht="16.5" thickBot="1" x14ac:dyDescent="0.3">
      <c r="A270" s="88"/>
      <c r="B270" s="27" t="s">
        <v>312</v>
      </c>
      <c r="C270" s="26">
        <v>549</v>
      </c>
      <c r="D270" s="26">
        <v>214</v>
      </c>
      <c r="E270" s="26">
        <v>14.7</v>
      </c>
      <c r="F270" s="26">
        <v>23.6</v>
      </c>
      <c r="G270" s="26">
        <v>501.8</v>
      </c>
      <c r="H270" s="26">
        <v>99.7</v>
      </c>
      <c r="I270" s="26">
        <v>12.7</v>
      </c>
      <c r="J270" s="26">
        <v>176.16</v>
      </c>
      <c r="K270" s="26">
        <v>138.30000000000001</v>
      </c>
      <c r="L270" s="26">
        <v>86085.86</v>
      </c>
      <c r="M270" s="26">
        <v>3136.1</v>
      </c>
      <c r="N270" s="26">
        <v>1806.63</v>
      </c>
      <c r="O270" s="26">
        <v>221.06</v>
      </c>
      <c r="P270" s="26">
        <v>3869.52</v>
      </c>
      <c r="Q270" s="26">
        <v>361.64</v>
      </c>
      <c r="R270" s="26">
        <v>284.45999999999998</v>
      </c>
      <c r="S270" s="26">
        <v>46.87</v>
      </c>
    </row>
    <row r="271" spans="1:19" ht="16.5" thickBot="1" x14ac:dyDescent="0.3">
      <c r="A271" s="88"/>
      <c r="B271" s="27" t="s">
        <v>313</v>
      </c>
      <c r="C271" s="26">
        <v>599</v>
      </c>
      <c r="D271" s="26">
        <v>178</v>
      </c>
      <c r="E271" s="26">
        <v>10</v>
      </c>
      <c r="F271" s="26">
        <v>12.8</v>
      </c>
      <c r="G271" s="26">
        <v>573.4</v>
      </c>
      <c r="H271" s="26">
        <v>84</v>
      </c>
      <c r="I271" s="26">
        <v>12.7</v>
      </c>
      <c r="J271" s="26">
        <v>104.29</v>
      </c>
      <c r="K271" s="26">
        <v>82</v>
      </c>
      <c r="L271" s="26">
        <v>55978.879999999997</v>
      </c>
      <c r="M271" s="26">
        <v>1869.1</v>
      </c>
      <c r="N271" s="26">
        <v>1098.43</v>
      </c>
      <c r="O271" s="26">
        <v>231.68</v>
      </c>
      <c r="P271" s="26">
        <v>1208.8499999999999</v>
      </c>
      <c r="Q271" s="26">
        <v>135.83000000000001</v>
      </c>
      <c r="R271" s="26">
        <v>109.1</v>
      </c>
      <c r="S271" s="26">
        <v>34.049999999999997</v>
      </c>
    </row>
    <row r="272" spans="1:19" ht="16.5" thickBot="1" x14ac:dyDescent="0.3">
      <c r="A272" s="88"/>
      <c r="B272" s="27" t="s">
        <v>314</v>
      </c>
      <c r="C272" s="26">
        <v>603</v>
      </c>
      <c r="D272" s="26">
        <v>179</v>
      </c>
      <c r="E272" s="26">
        <v>10.9</v>
      </c>
      <c r="F272" s="26">
        <v>15</v>
      </c>
      <c r="G272" s="26">
        <v>573</v>
      </c>
      <c r="H272" s="26">
        <v>84.05</v>
      </c>
      <c r="I272" s="26">
        <v>12.7</v>
      </c>
      <c r="J272" s="26">
        <v>117.54</v>
      </c>
      <c r="K272" s="26">
        <v>92</v>
      </c>
      <c r="L272" s="26">
        <v>64629.04</v>
      </c>
      <c r="M272" s="26">
        <v>2143.6999999999998</v>
      </c>
      <c r="N272" s="26">
        <v>1256.3800000000001</v>
      </c>
      <c r="O272" s="26">
        <v>234.49</v>
      </c>
      <c r="P272" s="26">
        <v>1441.05</v>
      </c>
      <c r="Q272" s="26">
        <v>161.01</v>
      </c>
      <c r="R272" s="26">
        <v>129.24</v>
      </c>
      <c r="S272" s="26">
        <v>35.01</v>
      </c>
    </row>
    <row r="273" spans="1:19" ht="16.5" thickBot="1" x14ac:dyDescent="0.3">
      <c r="A273" s="88"/>
      <c r="B273" s="27" t="s">
        <v>315</v>
      </c>
      <c r="C273" s="26">
        <v>603</v>
      </c>
      <c r="D273" s="26">
        <v>228</v>
      </c>
      <c r="E273" s="26">
        <v>10.5</v>
      </c>
      <c r="F273" s="26">
        <v>14.9</v>
      </c>
      <c r="G273" s="26">
        <v>573.20000000000005</v>
      </c>
      <c r="H273" s="26">
        <v>108.75</v>
      </c>
      <c r="I273" s="26">
        <v>12.7</v>
      </c>
      <c r="J273" s="26">
        <v>129.51</v>
      </c>
      <c r="K273" s="26">
        <v>101</v>
      </c>
      <c r="L273" s="26">
        <v>76354.39</v>
      </c>
      <c r="M273" s="26">
        <v>2532.6</v>
      </c>
      <c r="N273" s="26">
        <v>1449.82</v>
      </c>
      <c r="O273" s="26">
        <v>242.81</v>
      </c>
      <c r="P273" s="26">
        <v>2949.85</v>
      </c>
      <c r="Q273" s="26">
        <v>258.76</v>
      </c>
      <c r="R273" s="26">
        <v>202.1</v>
      </c>
      <c r="S273" s="26">
        <v>47.72</v>
      </c>
    </row>
    <row r="274" spans="1:19" ht="16.5" thickBot="1" x14ac:dyDescent="0.3">
      <c r="A274" s="88"/>
      <c r="B274" s="27" t="s">
        <v>316</v>
      </c>
      <c r="C274" s="26">
        <v>608</v>
      </c>
      <c r="D274" s="26">
        <v>228</v>
      </c>
      <c r="E274" s="26">
        <v>11.2</v>
      </c>
      <c r="F274" s="26">
        <v>17.3</v>
      </c>
      <c r="G274" s="26">
        <v>573.4</v>
      </c>
      <c r="H274" s="26">
        <v>108.4</v>
      </c>
      <c r="I274" s="26">
        <v>12.7</v>
      </c>
      <c r="J274" s="26">
        <v>144.49</v>
      </c>
      <c r="K274" s="26">
        <v>113</v>
      </c>
      <c r="L274" s="26">
        <v>87546.5</v>
      </c>
      <c r="M274" s="26">
        <v>2879.9</v>
      </c>
      <c r="N274" s="26">
        <v>1644.93</v>
      </c>
      <c r="O274" s="26">
        <v>246.15</v>
      </c>
      <c r="P274" s="26">
        <v>3425.2</v>
      </c>
      <c r="Q274" s="26">
        <v>300.45999999999998</v>
      </c>
      <c r="R274" s="26">
        <v>234.41</v>
      </c>
      <c r="S274" s="26">
        <v>48.69</v>
      </c>
    </row>
    <row r="275" spans="1:19" ht="16.5" thickBot="1" x14ac:dyDescent="0.3">
      <c r="A275" s="88"/>
      <c r="B275" s="27" t="s">
        <v>317</v>
      </c>
      <c r="C275" s="26">
        <v>612</v>
      </c>
      <c r="D275" s="26">
        <v>229</v>
      </c>
      <c r="E275" s="26">
        <v>11.9</v>
      </c>
      <c r="F275" s="26">
        <v>19.600000000000001</v>
      </c>
      <c r="G275" s="26">
        <v>572.79999999999995</v>
      </c>
      <c r="H275" s="26">
        <v>108.55</v>
      </c>
      <c r="I275" s="26">
        <v>12.7</v>
      </c>
      <c r="J275" s="26">
        <v>159.32</v>
      </c>
      <c r="K275" s="26">
        <v>125</v>
      </c>
      <c r="L275" s="26">
        <v>98536.49</v>
      </c>
      <c r="M275" s="26">
        <v>3220.2</v>
      </c>
      <c r="N275" s="26">
        <v>1837.14</v>
      </c>
      <c r="O275" s="26">
        <v>248.7</v>
      </c>
      <c r="P275" s="26">
        <v>3932.13</v>
      </c>
      <c r="Q275" s="26">
        <v>343.42</v>
      </c>
      <c r="R275" s="26">
        <v>267.70999999999998</v>
      </c>
      <c r="S275" s="26">
        <v>49.68</v>
      </c>
    </row>
    <row r="276" spans="1:19" ht="16.5" thickBot="1" x14ac:dyDescent="0.3">
      <c r="A276" s="89"/>
      <c r="B276" s="27" t="s">
        <v>318</v>
      </c>
      <c r="C276" s="26">
        <v>617</v>
      </c>
      <c r="D276" s="26">
        <v>230</v>
      </c>
      <c r="E276" s="26">
        <v>13.1</v>
      </c>
      <c r="F276" s="26">
        <v>22.2</v>
      </c>
      <c r="G276" s="26">
        <v>572.6</v>
      </c>
      <c r="H276" s="26">
        <v>108.45</v>
      </c>
      <c r="I276" s="26">
        <v>12.7</v>
      </c>
      <c r="J276" s="26">
        <v>178.52</v>
      </c>
      <c r="K276" s="26">
        <v>140</v>
      </c>
      <c r="L276" s="26">
        <v>111971.16</v>
      </c>
      <c r="M276" s="26">
        <v>3629.6</v>
      </c>
      <c r="N276" s="26">
        <v>2075.04</v>
      </c>
      <c r="O276" s="26">
        <v>250.45</v>
      </c>
      <c r="P276" s="26">
        <v>4513.8100000000004</v>
      </c>
      <c r="Q276" s="26">
        <v>392.51</v>
      </c>
      <c r="R276" s="26">
        <v>306.52999999999997</v>
      </c>
      <c r="S276" s="26">
        <v>50.28</v>
      </c>
    </row>
    <row r="277" spans="1:19" ht="16.5" thickBot="1" x14ac:dyDescent="0.3">
      <c r="A277" s="87" t="s">
        <v>319</v>
      </c>
      <c r="B277" s="27" t="s">
        <v>320</v>
      </c>
      <c r="C277" s="26">
        <v>96</v>
      </c>
      <c r="D277" s="26">
        <v>100</v>
      </c>
      <c r="E277" s="26">
        <v>5</v>
      </c>
      <c r="F277" s="26">
        <v>8</v>
      </c>
      <c r="G277" s="26">
        <v>80</v>
      </c>
      <c r="H277" s="26">
        <v>46</v>
      </c>
      <c r="I277" s="26">
        <v>12</v>
      </c>
      <c r="J277" s="26">
        <v>21.2</v>
      </c>
      <c r="K277" s="26">
        <v>16.7</v>
      </c>
      <c r="L277" s="26">
        <v>349</v>
      </c>
      <c r="M277" s="26">
        <v>73</v>
      </c>
      <c r="N277" s="26">
        <v>41.51</v>
      </c>
      <c r="O277" s="26">
        <v>4.0599999999999996</v>
      </c>
      <c r="P277" s="26">
        <v>134</v>
      </c>
      <c r="Q277" s="26">
        <v>27</v>
      </c>
      <c r="R277" s="26">
        <v>20.57</v>
      </c>
      <c r="S277" s="26">
        <v>2.5099999999999998</v>
      </c>
    </row>
    <row r="278" spans="1:19" ht="16.5" thickBot="1" x14ac:dyDescent="0.3">
      <c r="A278" s="88"/>
      <c r="B278" s="27" t="s">
        <v>321</v>
      </c>
      <c r="C278" s="26">
        <v>100</v>
      </c>
      <c r="D278" s="26">
        <v>100</v>
      </c>
      <c r="E278" s="26">
        <v>6</v>
      </c>
      <c r="F278" s="26">
        <v>10</v>
      </c>
      <c r="G278" s="26">
        <v>80</v>
      </c>
      <c r="H278" s="26">
        <v>45</v>
      </c>
      <c r="I278" s="26">
        <v>12</v>
      </c>
      <c r="J278" s="26">
        <v>26</v>
      </c>
      <c r="K278" s="26">
        <v>20.399999999999999</v>
      </c>
      <c r="L278" s="26">
        <v>450</v>
      </c>
      <c r="M278" s="26">
        <v>90</v>
      </c>
      <c r="N278" s="26">
        <v>52.11</v>
      </c>
      <c r="O278" s="26">
        <v>4.16</v>
      </c>
      <c r="P278" s="26">
        <v>167</v>
      </c>
      <c r="Q278" s="26">
        <v>33</v>
      </c>
      <c r="R278" s="26">
        <v>25.71</v>
      </c>
      <c r="S278" s="26">
        <v>2.5299999999999998</v>
      </c>
    </row>
    <row r="279" spans="1:19" ht="16.5" thickBot="1" x14ac:dyDescent="0.3">
      <c r="A279" s="88"/>
      <c r="B279" s="27" t="s">
        <v>322</v>
      </c>
      <c r="C279" s="26">
        <v>120</v>
      </c>
      <c r="D279" s="26">
        <v>106</v>
      </c>
      <c r="E279" s="26">
        <v>12</v>
      </c>
      <c r="F279" s="26">
        <v>20</v>
      </c>
      <c r="G279" s="26">
        <v>80</v>
      </c>
      <c r="H279" s="26">
        <v>43</v>
      </c>
      <c r="I279" s="26">
        <v>12</v>
      </c>
      <c r="J279" s="26">
        <v>53.2</v>
      </c>
      <c r="K279" s="26">
        <v>41.8</v>
      </c>
      <c r="L279" s="26">
        <v>1143</v>
      </c>
      <c r="M279" s="26">
        <v>190</v>
      </c>
      <c r="N279" s="26">
        <v>117.91</v>
      </c>
      <c r="O279" s="26">
        <v>4.63</v>
      </c>
      <c r="P279" s="26">
        <v>399</v>
      </c>
      <c r="Q279" s="26">
        <v>75</v>
      </c>
      <c r="R279" s="26">
        <v>58.16</v>
      </c>
      <c r="S279" s="26">
        <v>2.74</v>
      </c>
    </row>
    <row r="280" spans="1:19" ht="16.5" thickBot="1" x14ac:dyDescent="0.3">
      <c r="A280" s="88"/>
      <c r="B280" s="27" t="s">
        <v>323</v>
      </c>
      <c r="C280" s="26">
        <v>114</v>
      </c>
      <c r="D280" s="26">
        <v>120</v>
      </c>
      <c r="E280" s="26">
        <v>5</v>
      </c>
      <c r="F280" s="26">
        <v>8</v>
      </c>
      <c r="G280" s="26">
        <v>98</v>
      </c>
      <c r="H280" s="26">
        <v>56</v>
      </c>
      <c r="I280" s="26">
        <v>12</v>
      </c>
      <c r="J280" s="26">
        <v>25.3</v>
      </c>
      <c r="K280" s="26">
        <v>19.899999999999999</v>
      </c>
      <c r="L280" s="26">
        <v>608</v>
      </c>
      <c r="M280" s="26">
        <v>106</v>
      </c>
      <c r="N280" s="26">
        <v>59.75</v>
      </c>
      <c r="O280" s="26">
        <v>4.8899999999999997</v>
      </c>
      <c r="P280" s="26">
        <v>231</v>
      </c>
      <c r="Q280" s="26">
        <v>38</v>
      </c>
      <c r="R280" s="26">
        <v>29.43</v>
      </c>
      <c r="S280" s="26">
        <v>3.02</v>
      </c>
    </row>
    <row r="281" spans="1:19" ht="16.5" thickBot="1" x14ac:dyDescent="0.3">
      <c r="A281" s="88"/>
      <c r="B281" s="27" t="s">
        <v>324</v>
      </c>
      <c r="C281" s="26">
        <v>120</v>
      </c>
      <c r="D281" s="26">
        <v>120</v>
      </c>
      <c r="E281" s="26">
        <v>6.5</v>
      </c>
      <c r="F281" s="26">
        <v>11</v>
      </c>
      <c r="G281" s="26">
        <v>98</v>
      </c>
      <c r="H281" s="26">
        <v>54.5</v>
      </c>
      <c r="I281" s="26">
        <v>12</v>
      </c>
      <c r="J281" s="26">
        <v>34</v>
      </c>
      <c r="K281" s="26">
        <v>26.7</v>
      </c>
      <c r="L281" s="26">
        <v>864</v>
      </c>
      <c r="M281" s="26">
        <v>144</v>
      </c>
      <c r="N281" s="26">
        <v>82.61</v>
      </c>
      <c r="O281" s="26">
        <v>5.04</v>
      </c>
      <c r="P281" s="26">
        <v>318</v>
      </c>
      <c r="Q281" s="26">
        <v>53</v>
      </c>
      <c r="R281" s="26">
        <v>40.479999999999997</v>
      </c>
      <c r="S281" s="26">
        <v>3.06</v>
      </c>
    </row>
    <row r="282" spans="1:19" ht="16.5" thickBot="1" x14ac:dyDescent="0.3">
      <c r="A282" s="88"/>
      <c r="B282" s="27" t="s">
        <v>325</v>
      </c>
      <c r="C282" s="26">
        <v>140</v>
      </c>
      <c r="D282" s="26">
        <v>126</v>
      </c>
      <c r="E282" s="26">
        <v>12.5</v>
      </c>
      <c r="F282" s="26">
        <v>21</v>
      </c>
      <c r="G282" s="26">
        <v>98</v>
      </c>
      <c r="H282" s="26">
        <v>52.5</v>
      </c>
      <c r="I282" s="26">
        <v>12</v>
      </c>
      <c r="J282" s="26">
        <v>66.400000000000006</v>
      </c>
      <c r="K282" s="26">
        <v>53.1</v>
      </c>
      <c r="L282" s="26">
        <v>2018</v>
      </c>
      <c r="M282" s="26">
        <v>288</v>
      </c>
      <c r="N282" s="26">
        <v>175.31</v>
      </c>
      <c r="O282" s="26">
        <v>5.51</v>
      </c>
      <c r="P282" s="26">
        <v>703</v>
      </c>
      <c r="Q282" s="26">
        <v>112</v>
      </c>
      <c r="R282" s="26">
        <v>85.82</v>
      </c>
      <c r="S282" s="26">
        <v>3.25</v>
      </c>
    </row>
    <row r="283" spans="1:19" ht="16.5" thickBot="1" x14ac:dyDescent="0.3">
      <c r="A283" s="88"/>
      <c r="B283" s="27" t="s">
        <v>326</v>
      </c>
      <c r="C283" s="26">
        <v>133</v>
      </c>
      <c r="D283" s="26">
        <v>140</v>
      </c>
      <c r="E283" s="26">
        <v>5.5</v>
      </c>
      <c r="F283" s="26">
        <v>8.5</v>
      </c>
      <c r="G283" s="26">
        <v>116</v>
      </c>
      <c r="H283" s="26">
        <v>65.75</v>
      </c>
      <c r="I283" s="26">
        <v>12</v>
      </c>
      <c r="J283" s="26">
        <v>31.4</v>
      </c>
      <c r="K283" s="26">
        <v>24.7</v>
      </c>
      <c r="L283" s="26">
        <v>1033</v>
      </c>
      <c r="M283" s="26">
        <v>155</v>
      </c>
      <c r="N283" s="26">
        <v>86.75</v>
      </c>
      <c r="O283" s="26">
        <v>5.73</v>
      </c>
      <c r="P283" s="26">
        <v>389</v>
      </c>
      <c r="Q283" s="26">
        <v>56</v>
      </c>
      <c r="R283" s="26">
        <v>42.42</v>
      </c>
      <c r="S283" s="26">
        <v>3.52</v>
      </c>
    </row>
    <row r="284" spans="1:19" ht="16.5" thickBot="1" x14ac:dyDescent="0.3">
      <c r="A284" s="88"/>
      <c r="B284" s="27" t="s">
        <v>327</v>
      </c>
      <c r="C284" s="26">
        <v>140</v>
      </c>
      <c r="D284" s="26">
        <v>140</v>
      </c>
      <c r="E284" s="26">
        <v>7</v>
      </c>
      <c r="F284" s="26">
        <v>12</v>
      </c>
      <c r="G284" s="26">
        <v>116</v>
      </c>
      <c r="H284" s="26">
        <v>64</v>
      </c>
      <c r="I284" s="26">
        <v>12</v>
      </c>
      <c r="J284" s="26">
        <v>43</v>
      </c>
      <c r="K284" s="26">
        <v>33.700000000000003</v>
      </c>
      <c r="L284" s="26">
        <v>1509</v>
      </c>
      <c r="M284" s="26">
        <v>216</v>
      </c>
      <c r="N284" s="26">
        <v>122.71</v>
      </c>
      <c r="O284" s="26">
        <v>5.93</v>
      </c>
      <c r="P284" s="26">
        <v>550</v>
      </c>
      <c r="Q284" s="26">
        <v>79</v>
      </c>
      <c r="R284" s="26">
        <v>59.89</v>
      </c>
      <c r="S284" s="26">
        <v>3.58</v>
      </c>
    </row>
    <row r="285" spans="1:19" ht="16.5" thickBot="1" x14ac:dyDescent="0.3">
      <c r="A285" s="88"/>
      <c r="B285" s="27" t="s">
        <v>328</v>
      </c>
      <c r="C285" s="26">
        <v>160</v>
      </c>
      <c r="D285" s="26">
        <v>145</v>
      </c>
      <c r="E285" s="26">
        <v>13</v>
      </c>
      <c r="F285" s="26">
        <v>22</v>
      </c>
      <c r="G285" s="26">
        <v>116</v>
      </c>
      <c r="H285" s="26">
        <v>61.5</v>
      </c>
      <c r="I285" s="26">
        <v>12</v>
      </c>
      <c r="J285" s="26">
        <v>80.599999999999994</v>
      </c>
      <c r="K285" s="26">
        <v>63.2</v>
      </c>
      <c r="L285" s="26">
        <v>3291</v>
      </c>
      <c r="M285" s="26">
        <v>411</v>
      </c>
      <c r="N285" s="26">
        <v>245.4</v>
      </c>
      <c r="O285" s="26">
        <v>6.39</v>
      </c>
      <c r="P285" s="26">
        <v>1144</v>
      </c>
      <c r="Q285" s="26">
        <v>157</v>
      </c>
      <c r="R285" s="26">
        <v>118.66</v>
      </c>
      <c r="S285" s="26">
        <v>3.77</v>
      </c>
    </row>
    <row r="286" spans="1:19" ht="16.5" thickBot="1" x14ac:dyDescent="0.3">
      <c r="A286" s="88"/>
      <c r="B286" s="27" t="s">
        <v>329</v>
      </c>
      <c r="C286" s="26">
        <v>152</v>
      </c>
      <c r="D286" s="26">
        <v>152</v>
      </c>
      <c r="E286" s="26">
        <v>5.8</v>
      </c>
      <c r="F286" s="26">
        <v>6.6</v>
      </c>
      <c r="G286" s="26">
        <v>138.80000000000001</v>
      </c>
      <c r="H286" s="26">
        <v>73.099999999999994</v>
      </c>
      <c r="I286" s="26">
        <v>7.6</v>
      </c>
      <c r="J286" s="26">
        <v>28.61</v>
      </c>
      <c r="K286" s="26">
        <v>22.5</v>
      </c>
      <c r="L286" s="26">
        <v>1213.1500000000001</v>
      </c>
      <c r="M286" s="26">
        <v>159.6</v>
      </c>
      <c r="N286" s="26">
        <v>88.58</v>
      </c>
      <c r="O286" s="26">
        <v>65.12</v>
      </c>
      <c r="P286" s="26">
        <v>386.64</v>
      </c>
      <c r="Q286" s="26">
        <v>50.87</v>
      </c>
      <c r="R286" s="26">
        <v>38.82</v>
      </c>
      <c r="S286" s="26">
        <v>36.76</v>
      </c>
    </row>
    <row r="287" spans="1:19" ht="16.5" thickBot="1" x14ac:dyDescent="0.3">
      <c r="A287" s="88"/>
      <c r="B287" s="27" t="s">
        <v>330</v>
      </c>
      <c r="C287" s="26">
        <v>157</v>
      </c>
      <c r="D287" s="26">
        <v>153</v>
      </c>
      <c r="E287" s="26">
        <v>6.6</v>
      </c>
      <c r="F287" s="26">
        <v>9.3000000000000007</v>
      </c>
      <c r="G287" s="26">
        <v>138.4</v>
      </c>
      <c r="H287" s="26">
        <v>73.2</v>
      </c>
      <c r="I287" s="26">
        <v>7.6</v>
      </c>
      <c r="J287" s="26">
        <v>38.090000000000003</v>
      </c>
      <c r="K287" s="26">
        <v>29.8</v>
      </c>
      <c r="L287" s="26">
        <v>1722.51</v>
      </c>
      <c r="M287" s="26">
        <v>219.4</v>
      </c>
      <c r="N287" s="26">
        <v>122.56</v>
      </c>
      <c r="O287" s="26">
        <v>67.25</v>
      </c>
      <c r="P287" s="26">
        <v>555.61</v>
      </c>
      <c r="Q287" s="26">
        <v>72.63</v>
      </c>
      <c r="R287" s="26">
        <v>55.3</v>
      </c>
      <c r="S287" s="26">
        <v>38.19</v>
      </c>
    </row>
    <row r="288" spans="1:19" ht="16.5" thickBot="1" x14ac:dyDescent="0.3">
      <c r="A288" s="88"/>
      <c r="B288" s="27" t="s">
        <v>331</v>
      </c>
      <c r="C288" s="26">
        <v>162</v>
      </c>
      <c r="D288" s="26">
        <v>154</v>
      </c>
      <c r="E288" s="26">
        <v>8.1</v>
      </c>
      <c r="F288" s="26">
        <v>11.6</v>
      </c>
      <c r="G288" s="26">
        <v>138.80000000000001</v>
      </c>
      <c r="H288" s="26">
        <v>72.95</v>
      </c>
      <c r="I288" s="26">
        <v>7.6</v>
      </c>
      <c r="J288" s="26">
        <v>47.47</v>
      </c>
      <c r="K288" s="26">
        <v>37.1</v>
      </c>
      <c r="L288" s="26">
        <v>2227.67</v>
      </c>
      <c r="M288" s="26">
        <v>275</v>
      </c>
      <c r="N288" s="26">
        <v>155.52000000000001</v>
      </c>
      <c r="O288" s="26">
        <v>68.510000000000005</v>
      </c>
      <c r="P288" s="26">
        <v>706.89</v>
      </c>
      <c r="Q288" s="26">
        <v>91.8</v>
      </c>
      <c r="R288" s="26">
        <v>70.06</v>
      </c>
      <c r="S288" s="26">
        <v>38.590000000000003</v>
      </c>
    </row>
    <row r="289" spans="1:19" ht="16.5" thickBot="1" x14ac:dyDescent="0.3">
      <c r="A289" s="88"/>
      <c r="B289" s="27" t="s">
        <v>332</v>
      </c>
      <c r="C289" s="26">
        <v>152</v>
      </c>
      <c r="D289" s="26">
        <v>160</v>
      </c>
      <c r="E289" s="26">
        <v>6</v>
      </c>
      <c r="F289" s="26">
        <v>9</v>
      </c>
      <c r="G289" s="26">
        <v>134</v>
      </c>
      <c r="H289" s="26">
        <v>75.5</v>
      </c>
      <c r="I289" s="26">
        <v>15</v>
      </c>
      <c r="J289" s="26">
        <v>38.799999999999997</v>
      </c>
      <c r="K289" s="26">
        <v>30.4</v>
      </c>
      <c r="L289" s="26">
        <v>1673</v>
      </c>
      <c r="M289" s="26">
        <v>220</v>
      </c>
      <c r="N289" s="26">
        <v>122.57</v>
      </c>
      <c r="O289" s="26">
        <v>6.57</v>
      </c>
      <c r="P289" s="26">
        <v>616</v>
      </c>
      <c r="Q289" s="26">
        <v>77</v>
      </c>
      <c r="R289" s="26">
        <v>58.82</v>
      </c>
      <c r="S289" s="26">
        <v>3.98</v>
      </c>
    </row>
    <row r="290" spans="1:19" ht="16.5" thickBot="1" x14ac:dyDescent="0.3">
      <c r="A290" s="88"/>
      <c r="B290" s="27" t="s">
        <v>333</v>
      </c>
      <c r="C290" s="26">
        <v>160</v>
      </c>
      <c r="D290" s="26">
        <v>160</v>
      </c>
      <c r="E290" s="26">
        <v>8</v>
      </c>
      <c r="F290" s="26">
        <v>13</v>
      </c>
      <c r="G290" s="26">
        <v>134</v>
      </c>
      <c r="H290" s="26">
        <v>73.5</v>
      </c>
      <c r="I290" s="26">
        <v>15</v>
      </c>
      <c r="J290" s="26">
        <v>54.3</v>
      </c>
      <c r="K290" s="26">
        <v>42.6</v>
      </c>
      <c r="L290" s="26">
        <v>2492</v>
      </c>
      <c r="M290" s="26">
        <v>311</v>
      </c>
      <c r="N290" s="26">
        <v>176.98</v>
      </c>
      <c r="O290" s="26">
        <v>6.78</v>
      </c>
      <c r="P290" s="26">
        <v>889</v>
      </c>
      <c r="Q290" s="26">
        <v>111</v>
      </c>
      <c r="R290" s="26">
        <v>84.98</v>
      </c>
      <c r="S290" s="26">
        <v>4.05</v>
      </c>
    </row>
    <row r="291" spans="1:19" ht="16.5" thickBot="1" x14ac:dyDescent="0.3">
      <c r="A291" s="88"/>
      <c r="B291" s="27" t="s">
        <v>334</v>
      </c>
      <c r="C291" s="26">
        <v>180</v>
      </c>
      <c r="D291" s="26">
        <v>166</v>
      </c>
      <c r="E291" s="26">
        <v>14</v>
      </c>
      <c r="F291" s="26">
        <v>23</v>
      </c>
      <c r="G291" s="26">
        <v>134</v>
      </c>
      <c r="H291" s="26">
        <v>71.5</v>
      </c>
      <c r="I291" s="26">
        <v>15</v>
      </c>
      <c r="J291" s="26">
        <v>97.1</v>
      </c>
      <c r="K291" s="26">
        <v>76.2</v>
      </c>
      <c r="L291" s="26">
        <v>5098</v>
      </c>
      <c r="M291" s="26">
        <v>566</v>
      </c>
      <c r="N291" s="26">
        <v>337.28</v>
      </c>
      <c r="O291" s="26">
        <v>7.25</v>
      </c>
      <c r="P291" s="26">
        <v>1759</v>
      </c>
      <c r="Q291" s="26">
        <v>212</v>
      </c>
      <c r="R291" s="26">
        <v>162.72999999999999</v>
      </c>
      <c r="S291" s="26">
        <v>4.26</v>
      </c>
    </row>
    <row r="292" spans="1:19" ht="16.5" thickBot="1" x14ac:dyDescent="0.3">
      <c r="A292" s="88"/>
      <c r="B292" s="27" t="s">
        <v>335</v>
      </c>
      <c r="C292" s="26">
        <v>171</v>
      </c>
      <c r="D292" s="26">
        <v>180</v>
      </c>
      <c r="E292" s="26">
        <v>6</v>
      </c>
      <c r="F292" s="26">
        <v>9.5</v>
      </c>
      <c r="G292" s="26">
        <v>152</v>
      </c>
      <c r="H292" s="26">
        <v>85.25</v>
      </c>
      <c r="I292" s="26">
        <v>15</v>
      </c>
      <c r="J292" s="26">
        <v>45.3</v>
      </c>
      <c r="K292" s="26">
        <v>35.5</v>
      </c>
      <c r="L292" s="26">
        <v>2510</v>
      </c>
      <c r="M292" s="26">
        <v>294</v>
      </c>
      <c r="N292" s="26">
        <v>162.43</v>
      </c>
      <c r="O292" s="26">
        <v>7.45</v>
      </c>
      <c r="P292" s="26">
        <v>925</v>
      </c>
      <c r="Q292" s="26">
        <v>103</v>
      </c>
      <c r="R292" s="26">
        <v>78.25</v>
      </c>
      <c r="S292" s="26">
        <v>4.5199999999999996</v>
      </c>
    </row>
    <row r="293" spans="1:19" ht="16.5" thickBot="1" x14ac:dyDescent="0.3">
      <c r="A293" s="88"/>
      <c r="B293" s="27" t="s">
        <v>336</v>
      </c>
      <c r="C293" s="26">
        <v>180</v>
      </c>
      <c r="D293" s="26">
        <v>180</v>
      </c>
      <c r="E293" s="26">
        <v>8.3000000000000007</v>
      </c>
      <c r="F293" s="26">
        <v>14</v>
      </c>
      <c r="G293" s="26">
        <v>152</v>
      </c>
      <c r="H293" s="26">
        <v>83</v>
      </c>
      <c r="I293" s="26">
        <v>15</v>
      </c>
      <c r="J293" s="26">
        <v>65.3</v>
      </c>
      <c r="K293" s="26">
        <v>51.2</v>
      </c>
      <c r="L293" s="26">
        <v>3831</v>
      </c>
      <c r="M293" s="26">
        <v>425</v>
      </c>
      <c r="N293" s="26">
        <v>240.15</v>
      </c>
      <c r="O293" s="26">
        <v>7.66</v>
      </c>
      <c r="P293" s="26">
        <v>1363</v>
      </c>
      <c r="Q293" s="26">
        <v>151</v>
      </c>
      <c r="R293" s="26">
        <v>115.43</v>
      </c>
      <c r="S293" s="26">
        <v>4.57</v>
      </c>
    </row>
    <row r="294" spans="1:19" ht="16.5" thickBot="1" x14ac:dyDescent="0.3">
      <c r="A294" s="88"/>
      <c r="B294" s="27" t="s">
        <v>337</v>
      </c>
      <c r="C294" s="26">
        <v>200</v>
      </c>
      <c r="D294" s="26">
        <v>186</v>
      </c>
      <c r="E294" s="26">
        <v>14.5</v>
      </c>
      <c r="F294" s="26">
        <v>24</v>
      </c>
      <c r="G294" s="26">
        <v>152</v>
      </c>
      <c r="H294" s="26">
        <v>81</v>
      </c>
      <c r="I294" s="26">
        <v>15</v>
      </c>
      <c r="J294" s="26">
        <v>113.3</v>
      </c>
      <c r="K294" s="26">
        <v>88.9</v>
      </c>
      <c r="L294" s="26">
        <v>7483</v>
      </c>
      <c r="M294" s="26">
        <v>748</v>
      </c>
      <c r="N294" s="26">
        <v>441.72</v>
      </c>
      <c r="O294" s="26">
        <v>8.1300000000000008</v>
      </c>
      <c r="P294" s="26">
        <v>2580</v>
      </c>
      <c r="Q294" s="26">
        <v>277</v>
      </c>
      <c r="R294" s="26">
        <v>212.59</v>
      </c>
      <c r="S294" s="26">
        <v>4.7699999999999996</v>
      </c>
    </row>
    <row r="295" spans="1:19" ht="16.5" thickBot="1" x14ac:dyDescent="0.3">
      <c r="A295" s="88"/>
      <c r="B295" s="27" t="s">
        <v>338</v>
      </c>
      <c r="C295" s="26">
        <v>203</v>
      </c>
      <c r="D295" s="26">
        <v>203</v>
      </c>
      <c r="E295" s="26">
        <v>7.2</v>
      </c>
      <c r="F295" s="26">
        <v>11</v>
      </c>
      <c r="G295" s="26">
        <v>181</v>
      </c>
      <c r="H295" s="26">
        <v>97.9</v>
      </c>
      <c r="I295" s="26">
        <v>10.199999999999999</v>
      </c>
      <c r="J295" s="26">
        <v>58.59</v>
      </c>
      <c r="K295" s="26">
        <v>46.1</v>
      </c>
      <c r="L295" s="26">
        <v>4545.7</v>
      </c>
      <c r="M295" s="26">
        <v>447.9</v>
      </c>
      <c r="N295" s="26">
        <v>247.79</v>
      </c>
      <c r="O295" s="26">
        <v>88.09</v>
      </c>
      <c r="P295" s="26">
        <v>1534.57</v>
      </c>
      <c r="Q295" s="26">
        <v>151.19</v>
      </c>
      <c r="R295" s="26">
        <v>114.76</v>
      </c>
      <c r="S295" s="26">
        <v>51.18</v>
      </c>
    </row>
    <row r="296" spans="1:19" ht="16.5" thickBot="1" x14ac:dyDescent="0.3">
      <c r="A296" s="88"/>
      <c r="B296" s="27" t="s">
        <v>339</v>
      </c>
      <c r="C296" s="26">
        <v>206</v>
      </c>
      <c r="D296" s="26">
        <v>204</v>
      </c>
      <c r="E296" s="26">
        <v>7.9</v>
      </c>
      <c r="F296" s="26">
        <v>12.6</v>
      </c>
      <c r="G296" s="26">
        <v>180.8</v>
      </c>
      <c r="H296" s="26">
        <v>98.05</v>
      </c>
      <c r="I296" s="26">
        <v>10.199999999999999</v>
      </c>
      <c r="J296" s="26">
        <v>66.58</v>
      </c>
      <c r="K296" s="26">
        <v>52</v>
      </c>
      <c r="L296" s="26">
        <v>5272.37</v>
      </c>
      <c r="M296" s="26">
        <v>511.9</v>
      </c>
      <c r="N296" s="26">
        <v>284.77</v>
      </c>
      <c r="O296" s="26">
        <v>88.99</v>
      </c>
      <c r="P296" s="26">
        <v>1783.95</v>
      </c>
      <c r="Q296" s="26">
        <v>174.9</v>
      </c>
      <c r="R296" s="26">
        <v>132.78</v>
      </c>
      <c r="S296" s="26">
        <v>51.76</v>
      </c>
    </row>
    <row r="297" spans="1:19" ht="16.5" thickBot="1" x14ac:dyDescent="0.3">
      <c r="A297" s="88"/>
      <c r="B297" s="27" t="s">
        <v>340</v>
      </c>
      <c r="C297" s="26">
        <v>210</v>
      </c>
      <c r="D297" s="26">
        <v>205</v>
      </c>
      <c r="E297" s="26">
        <v>9.1</v>
      </c>
      <c r="F297" s="26">
        <v>14.2</v>
      </c>
      <c r="G297" s="26">
        <v>181.6</v>
      </c>
      <c r="H297" s="26">
        <v>97.95</v>
      </c>
      <c r="I297" s="26">
        <v>10.199999999999999</v>
      </c>
      <c r="J297" s="26">
        <v>75.64</v>
      </c>
      <c r="K297" s="26">
        <v>59</v>
      </c>
      <c r="L297" s="26">
        <v>6114</v>
      </c>
      <c r="M297" s="26">
        <v>582.29999999999995</v>
      </c>
      <c r="N297" s="26">
        <v>326.45</v>
      </c>
      <c r="O297" s="26">
        <v>89.91</v>
      </c>
      <c r="P297" s="26">
        <v>2040.5</v>
      </c>
      <c r="Q297" s="26">
        <v>199.07</v>
      </c>
      <c r="R297" s="26">
        <v>151.37</v>
      </c>
      <c r="S297" s="26">
        <v>51.94</v>
      </c>
    </row>
    <row r="298" spans="1:19" ht="16.5" thickBot="1" x14ac:dyDescent="0.3">
      <c r="A298" s="88"/>
      <c r="B298" s="27" t="s">
        <v>341</v>
      </c>
      <c r="C298" s="26">
        <v>216</v>
      </c>
      <c r="D298" s="26">
        <v>206</v>
      </c>
      <c r="E298" s="26">
        <v>10.199999999999999</v>
      </c>
      <c r="F298" s="26">
        <v>17.399999999999999</v>
      </c>
      <c r="G298" s="26">
        <v>181.2</v>
      </c>
      <c r="H298" s="26">
        <v>97.9</v>
      </c>
      <c r="I298" s="26">
        <v>10.199999999999999</v>
      </c>
      <c r="J298" s="26">
        <v>91.06</v>
      </c>
      <c r="K298" s="26">
        <v>71</v>
      </c>
      <c r="L298" s="26">
        <v>7662.28</v>
      </c>
      <c r="M298" s="26">
        <v>709.5</v>
      </c>
      <c r="N298" s="26">
        <v>401.74</v>
      </c>
      <c r="O298" s="26">
        <v>91.73</v>
      </c>
      <c r="P298" s="26">
        <v>2537.25</v>
      </c>
      <c r="Q298" s="26">
        <v>246.33</v>
      </c>
      <c r="R298" s="26">
        <v>187.28</v>
      </c>
      <c r="S298" s="26">
        <v>52.78</v>
      </c>
    </row>
    <row r="299" spans="1:19" ht="16.5" thickBot="1" x14ac:dyDescent="0.3">
      <c r="A299" s="88"/>
      <c r="B299" s="27" t="s">
        <v>342</v>
      </c>
      <c r="C299" s="26">
        <v>222</v>
      </c>
      <c r="D299" s="26">
        <v>209</v>
      </c>
      <c r="E299" s="26">
        <v>13</v>
      </c>
      <c r="F299" s="26">
        <v>20.6</v>
      </c>
      <c r="G299" s="26">
        <v>180.8</v>
      </c>
      <c r="H299" s="26">
        <v>98</v>
      </c>
      <c r="I299" s="26">
        <v>10.199999999999999</v>
      </c>
      <c r="J299" s="26">
        <v>110.51</v>
      </c>
      <c r="K299" s="26">
        <v>86</v>
      </c>
      <c r="L299" s="26">
        <v>9471.8700000000008</v>
      </c>
      <c r="M299" s="26">
        <v>853.3</v>
      </c>
      <c r="N299" s="26">
        <v>490.61</v>
      </c>
      <c r="O299" s="26">
        <v>92.58</v>
      </c>
      <c r="P299" s="26">
        <v>3138.43</v>
      </c>
      <c r="Q299" s="26">
        <v>300.33</v>
      </c>
      <c r="R299" s="26">
        <v>229.17</v>
      </c>
      <c r="S299" s="26">
        <v>53.29</v>
      </c>
    </row>
    <row r="300" spans="1:19" ht="16.5" thickBot="1" x14ac:dyDescent="0.3">
      <c r="A300" s="88"/>
      <c r="B300" s="27" t="s">
        <v>343</v>
      </c>
      <c r="C300" s="26">
        <v>229</v>
      </c>
      <c r="D300" s="26">
        <v>210</v>
      </c>
      <c r="E300" s="26">
        <v>14.5</v>
      </c>
      <c r="F300" s="26">
        <v>23.7</v>
      </c>
      <c r="G300" s="26">
        <v>181.6</v>
      </c>
      <c r="H300" s="26">
        <v>97.75</v>
      </c>
      <c r="I300" s="26">
        <v>10.199999999999999</v>
      </c>
      <c r="J300" s="26">
        <v>126.77</v>
      </c>
      <c r="K300" s="26">
        <v>100</v>
      </c>
      <c r="L300" s="26">
        <v>11328.82</v>
      </c>
      <c r="M300" s="26">
        <v>989.4</v>
      </c>
      <c r="N300" s="26">
        <v>574.62</v>
      </c>
      <c r="O300" s="26">
        <v>94.53</v>
      </c>
      <c r="P300" s="26">
        <v>3663.55</v>
      </c>
      <c r="Q300" s="26">
        <v>348.91</v>
      </c>
      <c r="R300" s="26">
        <v>266.49</v>
      </c>
      <c r="S300" s="26">
        <v>53.76</v>
      </c>
    </row>
    <row r="301" spans="1:19" ht="16.5" thickBot="1" x14ac:dyDescent="0.3">
      <c r="A301" s="88"/>
      <c r="B301" s="27" t="s">
        <v>344</v>
      </c>
      <c r="C301" s="26">
        <v>253</v>
      </c>
      <c r="D301" s="26">
        <v>254</v>
      </c>
      <c r="E301" s="26">
        <v>8.6</v>
      </c>
      <c r="F301" s="26">
        <v>14.2</v>
      </c>
      <c r="G301" s="26">
        <v>224.6</v>
      </c>
      <c r="H301" s="26">
        <v>122.7</v>
      </c>
      <c r="I301" s="26">
        <v>12.7</v>
      </c>
      <c r="J301" s="26">
        <v>92.84</v>
      </c>
      <c r="K301" s="26">
        <v>73</v>
      </c>
      <c r="L301" s="26">
        <v>11274.05</v>
      </c>
      <c r="M301" s="26">
        <v>891.2</v>
      </c>
      <c r="N301" s="26">
        <v>492.46</v>
      </c>
      <c r="O301" s="26">
        <v>110.2</v>
      </c>
      <c r="P301" s="26">
        <v>3880.24</v>
      </c>
      <c r="Q301" s="26">
        <v>305.52999999999997</v>
      </c>
      <c r="R301" s="26">
        <v>231.6</v>
      </c>
      <c r="S301" s="26">
        <v>64.650000000000006</v>
      </c>
    </row>
    <row r="302" spans="1:19" ht="16.5" thickBot="1" x14ac:dyDescent="0.3">
      <c r="A302" s="88"/>
      <c r="B302" s="27" t="s">
        <v>345</v>
      </c>
      <c r="C302" s="26">
        <v>256</v>
      </c>
      <c r="D302" s="26">
        <v>255</v>
      </c>
      <c r="E302" s="26">
        <v>9.4</v>
      </c>
      <c r="F302" s="26">
        <v>15.6</v>
      </c>
      <c r="G302" s="26">
        <v>224.8</v>
      </c>
      <c r="H302" s="26">
        <v>122.8</v>
      </c>
      <c r="I302" s="26">
        <v>12.7</v>
      </c>
      <c r="J302" s="26">
        <v>102.08</v>
      </c>
      <c r="K302" s="26">
        <v>80</v>
      </c>
      <c r="L302" s="26">
        <v>12567.16</v>
      </c>
      <c r="M302" s="26">
        <v>981.8</v>
      </c>
      <c r="N302" s="26">
        <v>545.12</v>
      </c>
      <c r="O302" s="26">
        <v>110.96</v>
      </c>
      <c r="P302" s="26">
        <v>4313.58</v>
      </c>
      <c r="Q302" s="26">
        <v>338.32</v>
      </c>
      <c r="R302" s="26">
        <v>256.60000000000002</v>
      </c>
      <c r="S302" s="26">
        <v>65.010000000000005</v>
      </c>
    </row>
    <row r="303" spans="1:19" ht="16.5" thickBot="1" x14ac:dyDescent="0.3">
      <c r="A303" s="88"/>
      <c r="B303" s="27" t="s">
        <v>346</v>
      </c>
      <c r="C303" s="26">
        <v>260</v>
      </c>
      <c r="D303" s="26">
        <v>256</v>
      </c>
      <c r="E303" s="26">
        <v>10.7</v>
      </c>
      <c r="F303" s="26">
        <v>17.3</v>
      </c>
      <c r="G303" s="26">
        <v>225.4</v>
      </c>
      <c r="H303" s="26">
        <v>122.65</v>
      </c>
      <c r="I303" s="26">
        <v>12.7</v>
      </c>
      <c r="J303" s="26">
        <v>114.08</v>
      </c>
      <c r="K303" s="26">
        <v>89</v>
      </c>
      <c r="L303" s="26">
        <v>14253.92</v>
      </c>
      <c r="M303" s="26">
        <v>1096.5</v>
      </c>
      <c r="N303" s="26">
        <v>612.99</v>
      </c>
      <c r="O303" s="26">
        <v>111.78</v>
      </c>
      <c r="P303" s="26">
        <v>4840.74</v>
      </c>
      <c r="Q303" s="26">
        <v>378.18</v>
      </c>
      <c r="R303" s="26">
        <v>287.24</v>
      </c>
      <c r="S303" s="26">
        <v>65.14</v>
      </c>
    </row>
    <row r="304" spans="1:19" ht="16.5" thickBot="1" x14ac:dyDescent="0.3">
      <c r="A304" s="89"/>
      <c r="B304" s="27" t="s">
        <v>347</v>
      </c>
      <c r="C304" s="26">
        <v>264</v>
      </c>
      <c r="D304" s="26">
        <v>257</v>
      </c>
      <c r="E304" s="26">
        <v>11.9</v>
      </c>
      <c r="F304" s="26">
        <v>19.600000000000001</v>
      </c>
      <c r="G304" s="26">
        <v>224.8</v>
      </c>
      <c r="H304" s="26">
        <v>122.55</v>
      </c>
      <c r="I304" s="26">
        <v>12.7</v>
      </c>
      <c r="J304" s="26">
        <v>128.88</v>
      </c>
      <c r="K304" s="26">
        <v>101</v>
      </c>
      <c r="L304" s="26">
        <v>16369.03</v>
      </c>
      <c r="M304" s="26">
        <v>1240.0999999999999</v>
      </c>
      <c r="N304" s="26">
        <v>698.3</v>
      </c>
      <c r="O304" s="26">
        <v>112.7</v>
      </c>
      <c r="P304" s="26">
        <v>5549.34</v>
      </c>
      <c r="Q304" s="26">
        <v>431.85</v>
      </c>
      <c r="R304" s="26">
        <v>328.23</v>
      </c>
      <c r="S304" s="26">
        <v>65.62</v>
      </c>
    </row>
    <row r="305" spans="2:19" x14ac:dyDescent="0.25">
      <c r="B305" s="96" t="s">
        <v>348</v>
      </c>
      <c r="C305" s="97"/>
      <c r="D305" s="97"/>
      <c r="E305" s="97"/>
      <c r="F305" s="97"/>
      <c r="G305" s="97"/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7"/>
      <c r="S305" s="98"/>
    </row>
    <row r="306" spans="2:19" x14ac:dyDescent="0.25">
      <c r="B306" s="90" t="s">
        <v>349</v>
      </c>
      <c r="C306" s="91"/>
      <c r="D306" s="91"/>
      <c r="E306" s="91"/>
      <c r="F306" s="91"/>
      <c r="G306" s="91"/>
      <c r="H306" s="91"/>
      <c r="I306" s="91"/>
      <c r="J306" s="91"/>
      <c r="K306" s="91"/>
      <c r="L306" s="91"/>
      <c r="M306" s="91"/>
      <c r="N306" s="91"/>
      <c r="O306" s="91"/>
      <c r="P306" s="91"/>
      <c r="Q306" s="91"/>
      <c r="R306" s="91"/>
      <c r="S306" s="92"/>
    </row>
    <row r="307" spans="2:19" ht="18" customHeight="1" x14ac:dyDescent="0.25">
      <c r="B307" s="90" t="s">
        <v>350</v>
      </c>
      <c r="C307" s="91"/>
      <c r="D307" s="91"/>
      <c r="E307" s="91"/>
      <c r="F307" s="91"/>
      <c r="G307" s="91"/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2"/>
    </row>
    <row r="308" spans="2:19" ht="32.25" customHeight="1" thickBot="1" x14ac:dyDescent="0.3">
      <c r="B308" s="93" t="s">
        <v>351</v>
      </c>
      <c r="C308" s="94"/>
      <c r="D308" s="94"/>
      <c r="E308" s="94"/>
      <c r="F308" s="94"/>
      <c r="G308" s="94"/>
      <c r="H308" s="94"/>
      <c r="I308" s="94"/>
      <c r="J308" s="94"/>
      <c r="K308" s="94"/>
      <c r="L308" s="94"/>
      <c r="M308" s="94"/>
      <c r="N308" s="94"/>
      <c r="O308" s="94"/>
      <c r="P308" s="94"/>
      <c r="Q308" s="94"/>
      <c r="R308" s="94"/>
      <c r="S308" s="95"/>
    </row>
  </sheetData>
  <mergeCells count="15">
    <mergeCell ref="B1:B2"/>
    <mergeCell ref="C1:I1"/>
    <mergeCell ref="J1:J2"/>
    <mergeCell ref="K1:K2"/>
    <mergeCell ref="L1:S1"/>
    <mergeCell ref="A53:A118"/>
    <mergeCell ref="A3:A52"/>
    <mergeCell ref="B306:S306"/>
    <mergeCell ref="B307:S307"/>
    <mergeCell ref="B308:S308"/>
    <mergeCell ref="A277:A304"/>
    <mergeCell ref="A222:A276"/>
    <mergeCell ref="A208:A221"/>
    <mergeCell ref="A119:A207"/>
    <mergeCell ref="B305:S30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05C2-E8F1-479A-A56B-794FB1595188}">
  <sheetPr codeName="Лист5"/>
  <dimension ref="A1:R82"/>
  <sheetViews>
    <sheetView view="pageBreakPreview" topLeftCell="A49" zoomScaleNormal="100" zoomScaleSheetLayoutView="100" workbookViewId="0">
      <selection activeCell="C5" sqref="C5:R82"/>
    </sheetView>
  </sheetViews>
  <sheetFormatPr defaultRowHeight="15.75" x14ac:dyDescent="0.25"/>
  <sheetData>
    <row r="1" spans="1:18" ht="16.5" thickBot="1" x14ac:dyDescent="0.3"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</row>
    <row r="2" spans="1:18" ht="22.5" customHeight="1" thickBot="1" x14ac:dyDescent="0.3">
      <c r="B2" s="110" t="s">
        <v>460</v>
      </c>
      <c r="C2" s="110" t="s">
        <v>25</v>
      </c>
      <c r="D2" s="110" t="s">
        <v>26</v>
      </c>
      <c r="E2" s="110" t="s">
        <v>27</v>
      </c>
      <c r="F2" s="110" t="s">
        <v>28</v>
      </c>
      <c r="G2" s="50" t="s">
        <v>493</v>
      </c>
      <c r="H2" s="50" t="s">
        <v>31</v>
      </c>
      <c r="I2" s="110" t="s">
        <v>494</v>
      </c>
      <c r="J2" s="110" t="s">
        <v>461</v>
      </c>
      <c r="K2" s="113" t="s">
        <v>462</v>
      </c>
      <c r="L2" s="114"/>
      <c r="M2" s="114"/>
      <c r="N2" s="114"/>
      <c r="O2" s="114"/>
      <c r="P2" s="114"/>
      <c r="Q2" s="115"/>
      <c r="R2" s="110" t="s">
        <v>483</v>
      </c>
    </row>
    <row r="3" spans="1:18" ht="22.5" customHeight="1" thickBot="1" x14ac:dyDescent="0.3">
      <c r="B3" s="111"/>
      <c r="C3" s="112"/>
      <c r="D3" s="112"/>
      <c r="E3" s="112"/>
      <c r="F3" s="112"/>
      <c r="G3" s="113" t="s">
        <v>463</v>
      </c>
      <c r="H3" s="115"/>
      <c r="I3" s="111"/>
      <c r="J3" s="111"/>
      <c r="K3" s="107" t="s">
        <v>484</v>
      </c>
      <c r="L3" s="108"/>
      <c r="M3" s="108"/>
      <c r="N3" s="109"/>
      <c r="O3" s="107" t="s">
        <v>485</v>
      </c>
      <c r="P3" s="108"/>
      <c r="Q3" s="109"/>
      <c r="R3" s="111"/>
    </row>
    <row r="4" spans="1:18" ht="22.5" customHeight="1" thickBot="1" x14ac:dyDescent="0.3">
      <c r="B4" s="112"/>
      <c r="C4" s="107" t="s">
        <v>464</v>
      </c>
      <c r="D4" s="108"/>
      <c r="E4" s="108"/>
      <c r="F4" s="108"/>
      <c r="G4" s="108"/>
      <c r="H4" s="109"/>
      <c r="I4" s="112"/>
      <c r="J4" s="112"/>
      <c r="K4" s="54" t="s">
        <v>486</v>
      </c>
      <c r="L4" s="54" t="s">
        <v>487</v>
      </c>
      <c r="M4" s="55" t="s">
        <v>488</v>
      </c>
      <c r="N4" s="54" t="s">
        <v>489</v>
      </c>
      <c r="O4" s="54" t="s">
        <v>490</v>
      </c>
      <c r="P4" s="54" t="s">
        <v>491</v>
      </c>
      <c r="Q4" s="55" t="s">
        <v>492</v>
      </c>
      <c r="R4" s="112"/>
    </row>
    <row r="5" spans="1:18" x14ac:dyDescent="0.25">
      <c r="A5" s="104" t="s">
        <v>561</v>
      </c>
      <c r="B5" s="50" t="s">
        <v>465</v>
      </c>
      <c r="C5" s="52">
        <v>50</v>
      </c>
      <c r="D5" s="52">
        <v>32</v>
      </c>
      <c r="E5" s="52">
        <v>4.4000000000000004</v>
      </c>
      <c r="F5" s="52">
        <v>7</v>
      </c>
      <c r="G5" s="52">
        <v>6</v>
      </c>
      <c r="H5" s="52">
        <v>2.5</v>
      </c>
      <c r="I5" s="52">
        <v>6.16</v>
      </c>
      <c r="J5" s="52">
        <v>4.84</v>
      </c>
      <c r="K5" s="52">
        <v>22.8</v>
      </c>
      <c r="L5" s="52">
        <v>9.1</v>
      </c>
      <c r="M5" s="52">
        <v>1.92</v>
      </c>
      <c r="N5" s="52">
        <v>5.59</v>
      </c>
      <c r="O5" s="52">
        <v>5.61</v>
      </c>
      <c r="P5" s="52">
        <v>2.75</v>
      </c>
      <c r="Q5" s="52">
        <v>0.95</v>
      </c>
      <c r="R5" s="52">
        <v>1.1599999999999999</v>
      </c>
    </row>
    <row r="6" spans="1:18" x14ac:dyDescent="0.25">
      <c r="A6" s="105"/>
      <c r="B6" s="51" t="s">
        <v>466</v>
      </c>
      <c r="C6" s="53">
        <v>65</v>
      </c>
      <c r="D6" s="53">
        <v>36</v>
      </c>
      <c r="E6" s="53">
        <v>4.4000000000000004</v>
      </c>
      <c r="F6" s="53">
        <v>7.2</v>
      </c>
      <c r="G6" s="53">
        <v>6</v>
      </c>
      <c r="H6" s="53">
        <v>2.5</v>
      </c>
      <c r="I6" s="53">
        <v>7.51</v>
      </c>
      <c r="J6" s="53">
        <v>5.9</v>
      </c>
      <c r="K6" s="53">
        <v>48.6</v>
      </c>
      <c r="L6" s="53">
        <v>15</v>
      </c>
      <c r="M6" s="53">
        <v>2.54</v>
      </c>
      <c r="N6" s="53">
        <v>9</v>
      </c>
      <c r="O6" s="53">
        <v>8.6999999999999993</v>
      </c>
      <c r="P6" s="53">
        <v>3.68</v>
      </c>
      <c r="Q6" s="53">
        <v>1.08</v>
      </c>
      <c r="R6" s="53">
        <v>1.24</v>
      </c>
    </row>
    <row r="7" spans="1:18" x14ac:dyDescent="0.25">
      <c r="A7" s="105"/>
      <c r="B7" s="51" t="s">
        <v>467</v>
      </c>
      <c r="C7" s="53">
        <v>80</v>
      </c>
      <c r="D7" s="53">
        <v>40</v>
      </c>
      <c r="E7" s="53">
        <v>4.5</v>
      </c>
      <c r="F7" s="53">
        <v>7.4</v>
      </c>
      <c r="G7" s="53">
        <v>6.5</v>
      </c>
      <c r="H7" s="53">
        <v>2.5</v>
      </c>
      <c r="I7" s="53">
        <v>8.98</v>
      </c>
      <c r="J7" s="53">
        <v>7.05</v>
      </c>
      <c r="K7" s="53">
        <v>89.4</v>
      </c>
      <c r="L7" s="53">
        <v>22.4</v>
      </c>
      <c r="M7" s="53">
        <v>3.16</v>
      </c>
      <c r="N7" s="53">
        <v>13.3</v>
      </c>
      <c r="O7" s="53">
        <v>12.8</v>
      </c>
      <c r="P7" s="53">
        <v>4.75</v>
      </c>
      <c r="Q7" s="53">
        <v>1.19</v>
      </c>
      <c r="R7" s="53">
        <v>1.31</v>
      </c>
    </row>
    <row r="8" spans="1:18" x14ac:dyDescent="0.25">
      <c r="A8" s="105"/>
      <c r="B8" s="51" t="s">
        <v>468</v>
      </c>
      <c r="C8" s="53">
        <v>100</v>
      </c>
      <c r="D8" s="53">
        <v>46</v>
      </c>
      <c r="E8" s="53">
        <v>4.5</v>
      </c>
      <c r="F8" s="53">
        <v>7.6</v>
      </c>
      <c r="G8" s="53">
        <v>7</v>
      </c>
      <c r="H8" s="53">
        <v>3</v>
      </c>
      <c r="I8" s="53">
        <v>10.9</v>
      </c>
      <c r="J8" s="53">
        <v>8.59</v>
      </c>
      <c r="K8" s="53">
        <v>174</v>
      </c>
      <c r="L8" s="53">
        <v>34.799999999999997</v>
      </c>
      <c r="M8" s="53">
        <v>3.99</v>
      </c>
      <c r="N8" s="53">
        <v>20.399999999999999</v>
      </c>
      <c r="O8" s="53">
        <v>20.399999999999999</v>
      </c>
      <c r="P8" s="53">
        <v>6.46</v>
      </c>
      <c r="Q8" s="53">
        <v>1.37</v>
      </c>
      <c r="R8" s="53">
        <v>1.44</v>
      </c>
    </row>
    <row r="9" spans="1:18" x14ac:dyDescent="0.25">
      <c r="A9" s="105"/>
      <c r="B9" s="51" t="s">
        <v>469</v>
      </c>
      <c r="C9" s="53">
        <v>120</v>
      </c>
      <c r="D9" s="53">
        <v>52</v>
      </c>
      <c r="E9" s="53">
        <v>4.8</v>
      </c>
      <c r="F9" s="53">
        <v>7.8</v>
      </c>
      <c r="G9" s="53">
        <v>7.5</v>
      </c>
      <c r="H9" s="53">
        <v>3</v>
      </c>
      <c r="I9" s="53">
        <v>13.3</v>
      </c>
      <c r="J9" s="53">
        <v>10.4</v>
      </c>
      <c r="K9" s="53">
        <v>304</v>
      </c>
      <c r="L9" s="53">
        <v>50.6</v>
      </c>
      <c r="M9" s="53">
        <v>4.78</v>
      </c>
      <c r="N9" s="53">
        <v>29.6</v>
      </c>
      <c r="O9" s="53">
        <v>31.2</v>
      </c>
      <c r="P9" s="53">
        <v>8.52</v>
      </c>
      <c r="Q9" s="53">
        <v>1.53</v>
      </c>
      <c r="R9" s="53">
        <v>1.54</v>
      </c>
    </row>
    <row r="10" spans="1:18" x14ac:dyDescent="0.25">
      <c r="A10" s="105"/>
      <c r="B10" s="51" t="s">
        <v>470</v>
      </c>
      <c r="C10" s="53">
        <v>140</v>
      </c>
      <c r="D10" s="53">
        <v>58</v>
      </c>
      <c r="E10" s="53">
        <v>4.9000000000000004</v>
      </c>
      <c r="F10" s="53">
        <v>8.1</v>
      </c>
      <c r="G10" s="53">
        <v>8</v>
      </c>
      <c r="H10" s="53">
        <v>3</v>
      </c>
      <c r="I10" s="53">
        <v>15.6</v>
      </c>
      <c r="J10" s="53">
        <v>12.3</v>
      </c>
      <c r="K10" s="53">
        <v>491</v>
      </c>
      <c r="L10" s="53">
        <v>70.2</v>
      </c>
      <c r="M10" s="53">
        <v>5.6</v>
      </c>
      <c r="N10" s="53">
        <v>40.799999999999997</v>
      </c>
      <c r="O10" s="53">
        <v>45.4</v>
      </c>
      <c r="P10" s="53">
        <v>11</v>
      </c>
      <c r="Q10" s="53">
        <v>1.7</v>
      </c>
      <c r="R10" s="53">
        <v>1.67</v>
      </c>
    </row>
    <row r="11" spans="1:18" x14ac:dyDescent="0.25">
      <c r="A11" s="105"/>
      <c r="B11" s="51" t="s">
        <v>471</v>
      </c>
      <c r="C11" s="53">
        <v>160</v>
      </c>
      <c r="D11" s="53">
        <v>64</v>
      </c>
      <c r="E11" s="53">
        <v>5</v>
      </c>
      <c r="F11" s="53">
        <v>8.4</v>
      </c>
      <c r="G11" s="53">
        <v>8.5</v>
      </c>
      <c r="H11" s="53">
        <v>3.5</v>
      </c>
      <c r="I11" s="53">
        <v>18.100000000000001</v>
      </c>
      <c r="J11" s="53">
        <v>14.2</v>
      </c>
      <c r="K11" s="53">
        <v>747</v>
      </c>
      <c r="L11" s="53">
        <v>93.4</v>
      </c>
      <c r="M11" s="53">
        <v>6.42</v>
      </c>
      <c r="N11" s="53">
        <v>54.1</v>
      </c>
      <c r="O11" s="53">
        <v>63.3</v>
      </c>
      <c r="P11" s="53">
        <v>13.8</v>
      </c>
      <c r="Q11" s="53">
        <v>1.87</v>
      </c>
      <c r="R11" s="53">
        <v>1.8</v>
      </c>
    </row>
    <row r="12" spans="1:18" x14ac:dyDescent="0.25">
      <c r="A12" s="105"/>
      <c r="B12" s="51" t="s">
        <v>472</v>
      </c>
      <c r="C12" s="53">
        <v>160</v>
      </c>
      <c r="D12" s="53">
        <v>68</v>
      </c>
      <c r="E12" s="53">
        <v>5</v>
      </c>
      <c r="F12" s="53">
        <v>9</v>
      </c>
      <c r="G12" s="53">
        <v>8.5</v>
      </c>
      <c r="H12" s="53">
        <v>3.5</v>
      </c>
      <c r="I12" s="53">
        <v>19.5</v>
      </c>
      <c r="J12" s="53">
        <v>15.3</v>
      </c>
      <c r="K12" s="53">
        <v>823</v>
      </c>
      <c r="L12" s="53">
        <v>103</v>
      </c>
      <c r="M12" s="53">
        <v>6.49</v>
      </c>
      <c r="N12" s="53">
        <v>59.4</v>
      </c>
      <c r="O12" s="53">
        <v>78.8</v>
      </c>
      <c r="P12" s="53">
        <v>16.399999999999999</v>
      </c>
      <c r="Q12" s="53">
        <v>2.0099999999999998</v>
      </c>
      <c r="R12" s="53">
        <v>2</v>
      </c>
    </row>
    <row r="13" spans="1:18" x14ac:dyDescent="0.25">
      <c r="A13" s="105"/>
      <c r="B13" s="51" t="s">
        <v>473</v>
      </c>
      <c r="C13" s="53">
        <v>180</v>
      </c>
      <c r="D13" s="53">
        <v>70</v>
      </c>
      <c r="E13" s="53">
        <v>5.0999999999999996</v>
      </c>
      <c r="F13" s="53">
        <v>8.6999999999999993</v>
      </c>
      <c r="G13" s="53">
        <v>9</v>
      </c>
      <c r="H13" s="53">
        <v>3.5</v>
      </c>
      <c r="I13" s="53">
        <v>20.7</v>
      </c>
      <c r="J13" s="53">
        <v>16.3</v>
      </c>
      <c r="K13" s="53">
        <v>1090</v>
      </c>
      <c r="L13" s="53">
        <v>121</v>
      </c>
      <c r="M13" s="53">
        <v>7.24</v>
      </c>
      <c r="N13" s="53">
        <v>69.8</v>
      </c>
      <c r="O13" s="53">
        <v>86</v>
      </c>
      <c r="P13" s="53">
        <v>17</v>
      </c>
      <c r="Q13" s="53">
        <v>2.04</v>
      </c>
      <c r="R13" s="53">
        <v>1.94</v>
      </c>
    </row>
    <row r="14" spans="1:18" x14ac:dyDescent="0.25">
      <c r="A14" s="105"/>
      <c r="B14" s="51" t="s">
        <v>474</v>
      </c>
      <c r="C14" s="53">
        <v>180</v>
      </c>
      <c r="D14" s="53">
        <v>74</v>
      </c>
      <c r="E14" s="53">
        <v>5.0999999999999996</v>
      </c>
      <c r="F14" s="53">
        <v>9.3000000000000007</v>
      </c>
      <c r="G14" s="53">
        <v>9</v>
      </c>
      <c r="H14" s="53">
        <v>3.5</v>
      </c>
      <c r="I14" s="53">
        <v>22.2</v>
      </c>
      <c r="J14" s="53">
        <v>17.399999999999999</v>
      </c>
      <c r="K14" s="53">
        <v>1190</v>
      </c>
      <c r="L14" s="53">
        <v>132</v>
      </c>
      <c r="M14" s="53">
        <v>7.32</v>
      </c>
      <c r="N14" s="53">
        <v>76.099999999999994</v>
      </c>
      <c r="O14" s="53">
        <v>105</v>
      </c>
      <c r="P14" s="53">
        <v>20</v>
      </c>
      <c r="Q14" s="53">
        <v>2.1800000000000002</v>
      </c>
      <c r="R14" s="53">
        <v>2.13</v>
      </c>
    </row>
    <row r="15" spans="1:18" x14ac:dyDescent="0.25">
      <c r="A15" s="105"/>
      <c r="B15" s="51" t="s">
        <v>475</v>
      </c>
      <c r="C15" s="53">
        <v>200</v>
      </c>
      <c r="D15" s="53">
        <v>76</v>
      </c>
      <c r="E15" s="53">
        <v>5.2</v>
      </c>
      <c r="F15" s="53">
        <v>9</v>
      </c>
      <c r="G15" s="53">
        <v>9.5</v>
      </c>
      <c r="H15" s="53">
        <v>4</v>
      </c>
      <c r="I15" s="53">
        <v>23.4</v>
      </c>
      <c r="J15" s="53">
        <v>18.399999999999999</v>
      </c>
      <c r="K15" s="53">
        <v>1520</v>
      </c>
      <c r="L15" s="53">
        <v>152</v>
      </c>
      <c r="M15" s="53">
        <v>8.07</v>
      </c>
      <c r="N15" s="53">
        <v>87.8</v>
      </c>
      <c r="O15" s="53">
        <v>113</v>
      </c>
      <c r="P15" s="53">
        <v>20.5</v>
      </c>
      <c r="Q15" s="53">
        <v>2.2000000000000002</v>
      </c>
      <c r="R15" s="53">
        <v>2.0699999999999998</v>
      </c>
    </row>
    <row r="16" spans="1:18" x14ac:dyDescent="0.25">
      <c r="A16" s="105"/>
      <c r="B16" s="51" t="s">
        <v>476</v>
      </c>
      <c r="C16" s="53">
        <v>220</v>
      </c>
      <c r="D16" s="53">
        <v>82</v>
      </c>
      <c r="E16" s="53">
        <v>5.4</v>
      </c>
      <c r="F16" s="53">
        <v>9.5</v>
      </c>
      <c r="G16" s="53">
        <v>10</v>
      </c>
      <c r="H16" s="53">
        <v>4</v>
      </c>
      <c r="I16" s="53">
        <v>26.7</v>
      </c>
      <c r="J16" s="53">
        <v>21</v>
      </c>
      <c r="K16" s="53">
        <v>2110</v>
      </c>
      <c r="L16" s="53">
        <v>192</v>
      </c>
      <c r="M16" s="53">
        <v>8.89</v>
      </c>
      <c r="N16" s="53">
        <v>110</v>
      </c>
      <c r="O16" s="53">
        <v>151</v>
      </c>
      <c r="P16" s="53">
        <v>25.1</v>
      </c>
      <c r="Q16" s="53">
        <v>2.37</v>
      </c>
      <c r="R16" s="53">
        <v>2.21</v>
      </c>
    </row>
    <row r="17" spans="1:18" x14ac:dyDescent="0.25">
      <c r="A17" s="105"/>
      <c r="B17" s="51" t="s">
        <v>477</v>
      </c>
      <c r="C17" s="53">
        <v>240</v>
      </c>
      <c r="D17" s="53">
        <v>90</v>
      </c>
      <c r="E17" s="53">
        <v>5.6</v>
      </c>
      <c r="F17" s="53">
        <v>10</v>
      </c>
      <c r="G17" s="53">
        <v>10.5</v>
      </c>
      <c r="H17" s="53">
        <v>4</v>
      </c>
      <c r="I17" s="53">
        <v>30.6</v>
      </c>
      <c r="J17" s="53">
        <v>24</v>
      </c>
      <c r="K17" s="53">
        <v>2900</v>
      </c>
      <c r="L17" s="53">
        <v>242</v>
      </c>
      <c r="M17" s="53">
        <v>9.73</v>
      </c>
      <c r="N17" s="53">
        <v>139</v>
      </c>
      <c r="O17" s="53">
        <v>208</v>
      </c>
      <c r="P17" s="53">
        <v>31.6</v>
      </c>
      <c r="Q17" s="53">
        <v>2.6</v>
      </c>
      <c r="R17" s="53">
        <v>2.42</v>
      </c>
    </row>
    <row r="18" spans="1:18" x14ac:dyDescent="0.25">
      <c r="A18" s="105"/>
      <c r="B18" s="51" t="s">
        <v>478</v>
      </c>
      <c r="C18" s="53">
        <v>270</v>
      </c>
      <c r="D18" s="53">
        <v>95</v>
      </c>
      <c r="E18" s="53">
        <v>6</v>
      </c>
      <c r="F18" s="53">
        <v>10.5</v>
      </c>
      <c r="G18" s="53">
        <v>11</v>
      </c>
      <c r="H18" s="53">
        <v>4.5</v>
      </c>
      <c r="I18" s="53">
        <v>35.200000000000003</v>
      </c>
      <c r="J18" s="53">
        <v>27.7</v>
      </c>
      <c r="K18" s="53">
        <v>4160</v>
      </c>
      <c r="L18" s="53">
        <v>308</v>
      </c>
      <c r="M18" s="53">
        <v>10.9</v>
      </c>
      <c r="N18" s="53">
        <v>178</v>
      </c>
      <c r="O18" s="53">
        <v>262</v>
      </c>
      <c r="P18" s="53">
        <v>37.299999999999997</v>
      </c>
      <c r="Q18" s="53">
        <v>2.73</v>
      </c>
      <c r="R18" s="53">
        <v>2.4700000000000002</v>
      </c>
    </row>
    <row r="19" spans="1:18" x14ac:dyDescent="0.25">
      <c r="A19" s="105"/>
      <c r="B19" s="51" t="s">
        <v>479</v>
      </c>
      <c r="C19" s="53">
        <v>300</v>
      </c>
      <c r="D19" s="53">
        <v>100</v>
      </c>
      <c r="E19" s="53">
        <v>6.5</v>
      </c>
      <c r="F19" s="53">
        <v>11</v>
      </c>
      <c r="G19" s="53">
        <v>12</v>
      </c>
      <c r="H19" s="53">
        <v>5</v>
      </c>
      <c r="I19" s="53">
        <v>40.5</v>
      </c>
      <c r="J19" s="53">
        <v>31.8</v>
      </c>
      <c r="K19" s="53">
        <v>5810</v>
      </c>
      <c r="L19" s="53">
        <v>387</v>
      </c>
      <c r="M19" s="53">
        <v>12</v>
      </c>
      <c r="N19" s="53">
        <v>224</v>
      </c>
      <c r="O19" s="53">
        <v>327</v>
      </c>
      <c r="P19" s="53">
        <v>43.6</v>
      </c>
      <c r="Q19" s="53">
        <v>2.84</v>
      </c>
      <c r="R19" s="53">
        <v>2.52</v>
      </c>
    </row>
    <row r="20" spans="1:18" x14ac:dyDescent="0.25">
      <c r="A20" s="105"/>
      <c r="B20" s="51" t="s">
        <v>480</v>
      </c>
      <c r="C20" s="53">
        <v>330</v>
      </c>
      <c r="D20" s="53">
        <v>105</v>
      </c>
      <c r="E20" s="53">
        <v>7</v>
      </c>
      <c r="F20" s="53">
        <v>11.7</v>
      </c>
      <c r="G20" s="53">
        <v>13</v>
      </c>
      <c r="H20" s="53">
        <v>5</v>
      </c>
      <c r="I20" s="53">
        <v>46.5</v>
      </c>
      <c r="J20" s="53">
        <v>36.5</v>
      </c>
      <c r="K20" s="53">
        <v>7980</v>
      </c>
      <c r="L20" s="53">
        <v>484</v>
      </c>
      <c r="M20" s="53">
        <v>13.1</v>
      </c>
      <c r="N20" s="53">
        <v>281</v>
      </c>
      <c r="O20" s="53">
        <v>410</v>
      </c>
      <c r="P20" s="53">
        <v>51.8</v>
      </c>
      <c r="Q20" s="53">
        <v>2.97</v>
      </c>
      <c r="R20" s="53">
        <v>2.59</v>
      </c>
    </row>
    <row r="21" spans="1:18" x14ac:dyDescent="0.25">
      <c r="A21" s="105"/>
      <c r="B21" s="51" t="s">
        <v>481</v>
      </c>
      <c r="C21" s="53">
        <v>360</v>
      </c>
      <c r="D21" s="53">
        <v>110</v>
      </c>
      <c r="E21" s="53">
        <v>7.5</v>
      </c>
      <c r="F21" s="53">
        <v>12.6</v>
      </c>
      <c r="G21" s="53">
        <v>14</v>
      </c>
      <c r="H21" s="53">
        <v>6</v>
      </c>
      <c r="I21" s="53">
        <v>53.4</v>
      </c>
      <c r="J21" s="53">
        <v>41.9</v>
      </c>
      <c r="K21" s="53">
        <v>10820</v>
      </c>
      <c r="L21" s="53">
        <v>601</v>
      </c>
      <c r="M21" s="53">
        <v>14.2</v>
      </c>
      <c r="N21" s="53">
        <v>350</v>
      </c>
      <c r="O21" s="53">
        <v>513</v>
      </c>
      <c r="P21" s="53">
        <v>61.7</v>
      </c>
      <c r="Q21" s="53">
        <v>3.1</v>
      </c>
      <c r="R21" s="53">
        <v>2.68</v>
      </c>
    </row>
    <row r="22" spans="1:18" ht="16.5" thickBot="1" x14ac:dyDescent="0.3">
      <c r="A22" s="106"/>
      <c r="B22" s="55" t="s">
        <v>482</v>
      </c>
      <c r="C22" s="54">
        <v>400</v>
      </c>
      <c r="D22" s="54">
        <v>115</v>
      </c>
      <c r="E22" s="54">
        <v>8</v>
      </c>
      <c r="F22" s="54">
        <v>13.5</v>
      </c>
      <c r="G22" s="54">
        <v>15</v>
      </c>
      <c r="H22" s="54">
        <v>6</v>
      </c>
      <c r="I22" s="54">
        <v>61.5</v>
      </c>
      <c r="J22" s="54">
        <v>48.3</v>
      </c>
      <c r="K22" s="54">
        <v>15220</v>
      </c>
      <c r="L22" s="54">
        <v>761</v>
      </c>
      <c r="M22" s="54">
        <v>15.7</v>
      </c>
      <c r="N22" s="54">
        <v>444</v>
      </c>
      <c r="O22" s="54">
        <v>642</v>
      </c>
      <c r="P22" s="54">
        <v>73.400000000000006</v>
      </c>
      <c r="Q22" s="54">
        <v>3.23</v>
      </c>
      <c r="R22" s="54">
        <v>2.75</v>
      </c>
    </row>
    <row r="23" spans="1:18" x14ac:dyDescent="0.25">
      <c r="A23" s="104" t="s">
        <v>560</v>
      </c>
      <c r="B23" s="50" t="s">
        <v>495</v>
      </c>
      <c r="C23" s="52">
        <v>50</v>
      </c>
      <c r="D23" s="52">
        <v>32</v>
      </c>
      <c r="E23" s="52">
        <v>4.4000000000000004</v>
      </c>
      <c r="F23" s="52">
        <v>7</v>
      </c>
      <c r="G23" s="52">
        <v>6</v>
      </c>
      <c r="H23" s="52">
        <v>3.5</v>
      </c>
      <c r="I23" s="52">
        <v>6.16</v>
      </c>
      <c r="J23" s="52">
        <v>4.84</v>
      </c>
      <c r="K23" s="52">
        <v>22.8</v>
      </c>
      <c r="L23" s="52">
        <v>9.1</v>
      </c>
      <c r="M23" s="52">
        <v>1.92</v>
      </c>
      <c r="N23" s="52">
        <v>5.61</v>
      </c>
      <c r="O23" s="52">
        <v>5.95</v>
      </c>
      <c r="P23" s="52">
        <v>2.99</v>
      </c>
      <c r="Q23" s="52">
        <v>0.98</v>
      </c>
      <c r="R23" s="52">
        <v>1.21</v>
      </c>
    </row>
    <row r="24" spans="1:18" x14ac:dyDescent="0.25">
      <c r="A24" s="105"/>
      <c r="B24" s="51" t="s">
        <v>496</v>
      </c>
      <c r="C24" s="53">
        <v>65</v>
      </c>
      <c r="D24" s="53">
        <v>36</v>
      </c>
      <c r="E24" s="53">
        <v>4.4000000000000004</v>
      </c>
      <c r="F24" s="53">
        <v>7.2</v>
      </c>
      <c r="G24" s="53">
        <v>6</v>
      </c>
      <c r="H24" s="53">
        <v>3.5</v>
      </c>
      <c r="I24" s="53">
        <v>7.51</v>
      </c>
      <c r="J24" s="53">
        <v>5.9</v>
      </c>
      <c r="K24" s="53">
        <v>48.8</v>
      </c>
      <c r="L24" s="53">
        <v>15</v>
      </c>
      <c r="M24" s="53">
        <v>2.5499999999999998</v>
      </c>
      <c r="N24" s="53">
        <v>9.02</v>
      </c>
      <c r="O24" s="53">
        <v>9.35</v>
      </c>
      <c r="P24" s="53">
        <v>4.0599999999999996</v>
      </c>
      <c r="Q24" s="53">
        <v>1.1200000000000001</v>
      </c>
      <c r="R24" s="53">
        <v>1.29</v>
      </c>
    </row>
    <row r="25" spans="1:18" x14ac:dyDescent="0.25">
      <c r="A25" s="105"/>
      <c r="B25" s="51" t="s">
        <v>497</v>
      </c>
      <c r="C25" s="53">
        <v>80</v>
      </c>
      <c r="D25" s="53">
        <v>40</v>
      </c>
      <c r="E25" s="53">
        <v>4.5</v>
      </c>
      <c r="F25" s="53">
        <v>7.4</v>
      </c>
      <c r="G25" s="53">
        <v>6.5</v>
      </c>
      <c r="H25" s="53">
        <v>3.5</v>
      </c>
      <c r="I25" s="53">
        <v>8.98</v>
      </c>
      <c r="J25" s="53">
        <v>7.05</v>
      </c>
      <c r="K25" s="53">
        <v>89.8</v>
      </c>
      <c r="L25" s="53">
        <v>22.5</v>
      </c>
      <c r="M25" s="53">
        <v>3.16</v>
      </c>
      <c r="N25" s="53">
        <v>13.3</v>
      </c>
      <c r="O25" s="53">
        <v>13.9</v>
      </c>
      <c r="P25" s="53">
        <v>5.31</v>
      </c>
      <c r="Q25" s="53">
        <v>1.24</v>
      </c>
      <c r="R25" s="53">
        <v>1.38</v>
      </c>
    </row>
    <row r="26" spans="1:18" x14ac:dyDescent="0.25">
      <c r="A26" s="105"/>
      <c r="B26" s="51" t="s">
        <v>498</v>
      </c>
      <c r="C26" s="53">
        <v>100</v>
      </c>
      <c r="D26" s="53">
        <v>46</v>
      </c>
      <c r="E26" s="53">
        <v>4.5</v>
      </c>
      <c r="F26" s="53">
        <v>7.6</v>
      </c>
      <c r="G26" s="53">
        <v>7</v>
      </c>
      <c r="H26" s="53">
        <v>4</v>
      </c>
      <c r="I26" s="53">
        <v>10.9</v>
      </c>
      <c r="J26" s="53">
        <v>8.59</v>
      </c>
      <c r="K26" s="53">
        <v>175</v>
      </c>
      <c r="L26" s="53">
        <v>34.9</v>
      </c>
      <c r="M26" s="53">
        <v>3.99</v>
      </c>
      <c r="N26" s="53">
        <v>20.5</v>
      </c>
      <c r="O26" s="53">
        <v>22.6</v>
      </c>
      <c r="P26" s="53">
        <v>7.37</v>
      </c>
      <c r="Q26" s="53">
        <v>1.44</v>
      </c>
      <c r="R26" s="53">
        <v>1.53</v>
      </c>
    </row>
    <row r="27" spans="1:18" x14ac:dyDescent="0.25">
      <c r="A27" s="105"/>
      <c r="B27" s="51" t="s">
        <v>499</v>
      </c>
      <c r="C27" s="53">
        <v>120</v>
      </c>
      <c r="D27" s="53">
        <v>52</v>
      </c>
      <c r="E27" s="53">
        <v>4.8</v>
      </c>
      <c r="F27" s="53">
        <v>7.8</v>
      </c>
      <c r="G27" s="53">
        <v>7.5</v>
      </c>
      <c r="H27" s="53">
        <v>4.5</v>
      </c>
      <c r="I27" s="53">
        <v>13.3</v>
      </c>
      <c r="J27" s="53">
        <v>10.4</v>
      </c>
      <c r="K27" s="53">
        <v>305</v>
      </c>
      <c r="L27" s="53">
        <v>50.8</v>
      </c>
      <c r="M27" s="53">
        <v>4.79</v>
      </c>
      <c r="N27" s="53">
        <v>29.7</v>
      </c>
      <c r="O27" s="53">
        <v>34.9</v>
      </c>
      <c r="P27" s="53">
        <v>9.84</v>
      </c>
      <c r="Q27" s="53">
        <v>1.62</v>
      </c>
      <c r="R27" s="53">
        <v>1.66</v>
      </c>
    </row>
    <row r="28" spans="1:18" x14ac:dyDescent="0.25">
      <c r="A28" s="105"/>
      <c r="B28" s="51" t="s">
        <v>500</v>
      </c>
      <c r="C28" s="53">
        <v>140</v>
      </c>
      <c r="D28" s="53">
        <v>58</v>
      </c>
      <c r="E28" s="53">
        <v>4.9000000000000004</v>
      </c>
      <c r="F28" s="53">
        <v>8.1</v>
      </c>
      <c r="G28" s="53">
        <v>8</v>
      </c>
      <c r="H28" s="53">
        <v>4.5</v>
      </c>
      <c r="I28" s="53">
        <v>15.6</v>
      </c>
      <c r="J28" s="53">
        <v>12.3</v>
      </c>
      <c r="K28" s="53">
        <v>493</v>
      </c>
      <c r="L28" s="53">
        <v>70.400000000000006</v>
      </c>
      <c r="M28" s="53">
        <v>5.61</v>
      </c>
      <c r="N28" s="53">
        <v>40.9</v>
      </c>
      <c r="O28" s="53">
        <v>51.5</v>
      </c>
      <c r="P28" s="53">
        <v>12.9</v>
      </c>
      <c r="Q28" s="53">
        <v>1.81</v>
      </c>
      <c r="R28" s="53">
        <v>1.82</v>
      </c>
    </row>
    <row r="29" spans="1:18" x14ac:dyDescent="0.25">
      <c r="A29" s="105"/>
      <c r="B29" s="51" t="s">
        <v>501</v>
      </c>
      <c r="C29" s="53">
        <v>160</v>
      </c>
      <c r="D29" s="53">
        <v>64</v>
      </c>
      <c r="E29" s="53">
        <v>5</v>
      </c>
      <c r="F29" s="53">
        <v>8.4</v>
      </c>
      <c r="G29" s="53">
        <v>8.5</v>
      </c>
      <c r="H29" s="53">
        <v>5</v>
      </c>
      <c r="I29" s="53">
        <v>18.100000000000001</v>
      </c>
      <c r="J29" s="53">
        <v>14.2</v>
      </c>
      <c r="K29" s="53">
        <v>750</v>
      </c>
      <c r="L29" s="53">
        <v>93.8</v>
      </c>
      <c r="M29" s="53">
        <v>6.44</v>
      </c>
      <c r="N29" s="53">
        <v>54.3</v>
      </c>
      <c r="O29" s="53">
        <v>72.8</v>
      </c>
      <c r="P29" s="53">
        <v>16.399999999999999</v>
      </c>
      <c r="Q29" s="53">
        <v>2</v>
      </c>
      <c r="R29" s="53">
        <v>1.97</v>
      </c>
    </row>
    <row r="30" spans="1:18" x14ac:dyDescent="0.25">
      <c r="A30" s="105"/>
      <c r="B30" s="51" t="s">
        <v>502</v>
      </c>
      <c r="C30" s="53">
        <v>160</v>
      </c>
      <c r="D30" s="53">
        <v>68</v>
      </c>
      <c r="E30" s="53">
        <v>5</v>
      </c>
      <c r="F30" s="53">
        <v>9</v>
      </c>
      <c r="G30" s="53">
        <v>8.5</v>
      </c>
      <c r="H30" s="53">
        <v>5</v>
      </c>
      <c r="I30" s="53">
        <v>19.5</v>
      </c>
      <c r="J30" s="53">
        <v>15.3</v>
      </c>
      <c r="K30" s="53">
        <v>827</v>
      </c>
      <c r="L30" s="53">
        <v>103</v>
      </c>
      <c r="M30" s="53">
        <v>6.51</v>
      </c>
      <c r="N30" s="53">
        <v>59.5</v>
      </c>
      <c r="O30" s="53">
        <v>90.5</v>
      </c>
      <c r="P30" s="53">
        <v>19.600000000000001</v>
      </c>
      <c r="Q30" s="53">
        <v>2.15</v>
      </c>
      <c r="R30" s="53">
        <v>2.19</v>
      </c>
    </row>
    <row r="31" spans="1:18" x14ac:dyDescent="0.25">
      <c r="A31" s="105"/>
      <c r="B31" s="51" t="s">
        <v>503</v>
      </c>
      <c r="C31" s="53">
        <v>180</v>
      </c>
      <c r="D31" s="53">
        <v>70</v>
      </c>
      <c r="E31" s="53">
        <v>5.0999999999999996</v>
      </c>
      <c r="F31" s="53">
        <v>8.6999999999999993</v>
      </c>
      <c r="G31" s="53">
        <v>9</v>
      </c>
      <c r="H31" s="53">
        <v>5</v>
      </c>
      <c r="I31" s="53">
        <v>20.7</v>
      </c>
      <c r="J31" s="53">
        <v>16.3</v>
      </c>
      <c r="K31" s="53">
        <v>1090</v>
      </c>
      <c r="L31" s="53">
        <v>121</v>
      </c>
      <c r="M31" s="53">
        <v>7.26</v>
      </c>
      <c r="N31" s="53">
        <v>70</v>
      </c>
      <c r="O31" s="53">
        <v>100</v>
      </c>
      <c r="P31" s="53">
        <v>20.6</v>
      </c>
      <c r="Q31" s="53">
        <v>2.2000000000000002</v>
      </c>
      <c r="R31" s="53">
        <v>2.14</v>
      </c>
    </row>
    <row r="32" spans="1:18" x14ac:dyDescent="0.25">
      <c r="A32" s="105"/>
      <c r="B32" s="51" t="s">
        <v>504</v>
      </c>
      <c r="C32" s="53">
        <v>180</v>
      </c>
      <c r="D32" s="53">
        <v>74</v>
      </c>
      <c r="E32" s="53">
        <v>5.0999999999999996</v>
      </c>
      <c r="F32" s="53">
        <v>9.3000000000000007</v>
      </c>
      <c r="G32" s="53">
        <v>9</v>
      </c>
      <c r="H32" s="53">
        <v>5</v>
      </c>
      <c r="I32" s="53">
        <v>22.2</v>
      </c>
      <c r="J32" s="53">
        <v>17.399999999999999</v>
      </c>
      <c r="K32" s="53">
        <v>1200</v>
      </c>
      <c r="L32" s="53">
        <v>133</v>
      </c>
      <c r="M32" s="53">
        <v>7.34</v>
      </c>
      <c r="N32" s="53">
        <v>76.3</v>
      </c>
      <c r="O32" s="53">
        <v>123</v>
      </c>
      <c r="P32" s="53">
        <v>24.3</v>
      </c>
      <c r="Q32" s="53">
        <v>2.35</v>
      </c>
      <c r="R32" s="53">
        <v>2.36</v>
      </c>
    </row>
    <row r="33" spans="1:18" x14ac:dyDescent="0.25">
      <c r="A33" s="105"/>
      <c r="B33" s="51" t="s">
        <v>505</v>
      </c>
      <c r="C33" s="53">
        <v>200</v>
      </c>
      <c r="D33" s="53">
        <v>76</v>
      </c>
      <c r="E33" s="53">
        <v>5.2</v>
      </c>
      <c r="F33" s="53">
        <v>9</v>
      </c>
      <c r="G33" s="53">
        <v>9.5</v>
      </c>
      <c r="H33" s="53">
        <v>5.5</v>
      </c>
      <c r="I33" s="53">
        <v>23.4</v>
      </c>
      <c r="J33" s="53">
        <v>18.399999999999999</v>
      </c>
      <c r="K33" s="53">
        <v>1530</v>
      </c>
      <c r="L33" s="53">
        <v>153</v>
      </c>
      <c r="M33" s="53">
        <v>8.08</v>
      </c>
      <c r="N33" s="53">
        <v>88</v>
      </c>
      <c r="O33" s="53">
        <v>134</v>
      </c>
      <c r="P33" s="53">
        <v>25.2</v>
      </c>
      <c r="Q33" s="53">
        <v>2.39</v>
      </c>
      <c r="R33" s="53">
        <v>2.2999999999999998</v>
      </c>
    </row>
    <row r="34" spans="1:18" x14ac:dyDescent="0.25">
      <c r="A34" s="105"/>
      <c r="B34" s="51" t="s">
        <v>506</v>
      </c>
      <c r="C34" s="53">
        <v>220</v>
      </c>
      <c r="D34" s="53">
        <v>82</v>
      </c>
      <c r="E34" s="53">
        <v>5.4</v>
      </c>
      <c r="F34" s="53">
        <v>9.5</v>
      </c>
      <c r="G34" s="53">
        <v>10</v>
      </c>
      <c r="H34" s="53">
        <v>6</v>
      </c>
      <c r="I34" s="53">
        <v>26.7</v>
      </c>
      <c r="J34" s="53">
        <v>21</v>
      </c>
      <c r="K34" s="53">
        <v>2120</v>
      </c>
      <c r="L34" s="53">
        <v>193</v>
      </c>
      <c r="M34" s="53">
        <v>8.9</v>
      </c>
      <c r="N34" s="53">
        <v>111</v>
      </c>
      <c r="O34" s="53">
        <v>178</v>
      </c>
      <c r="P34" s="53">
        <v>31</v>
      </c>
      <c r="Q34" s="53">
        <v>2.58</v>
      </c>
      <c r="R34" s="53">
        <v>2.4700000000000002</v>
      </c>
    </row>
    <row r="35" spans="1:18" x14ac:dyDescent="0.25">
      <c r="A35" s="105"/>
      <c r="B35" s="51" t="s">
        <v>507</v>
      </c>
      <c r="C35" s="53">
        <v>240</v>
      </c>
      <c r="D35" s="53">
        <v>90</v>
      </c>
      <c r="E35" s="53">
        <v>5.6</v>
      </c>
      <c r="F35" s="53">
        <v>10</v>
      </c>
      <c r="G35" s="53">
        <v>10.5</v>
      </c>
      <c r="H35" s="53">
        <v>6</v>
      </c>
      <c r="I35" s="53">
        <v>30.6</v>
      </c>
      <c r="J35" s="53">
        <v>24</v>
      </c>
      <c r="K35" s="53">
        <v>2910</v>
      </c>
      <c r="L35" s="53">
        <v>243</v>
      </c>
      <c r="M35" s="53">
        <v>9.75</v>
      </c>
      <c r="N35" s="53">
        <v>139</v>
      </c>
      <c r="O35" s="53">
        <v>248</v>
      </c>
      <c r="P35" s="53">
        <v>39.5</v>
      </c>
      <c r="Q35" s="53">
        <v>2.85</v>
      </c>
      <c r="R35" s="53">
        <v>2.72</v>
      </c>
    </row>
    <row r="36" spans="1:18" x14ac:dyDescent="0.25">
      <c r="A36" s="105"/>
      <c r="B36" s="51" t="s">
        <v>508</v>
      </c>
      <c r="C36" s="53">
        <v>270</v>
      </c>
      <c r="D36" s="53">
        <v>95</v>
      </c>
      <c r="E36" s="53">
        <v>6</v>
      </c>
      <c r="F36" s="53">
        <v>10.5</v>
      </c>
      <c r="G36" s="53">
        <v>11</v>
      </c>
      <c r="H36" s="53">
        <v>6.5</v>
      </c>
      <c r="I36" s="53">
        <v>35.200000000000003</v>
      </c>
      <c r="J36" s="53">
        <v>27.7</v>
      </c>
      <c r="K36" s="53">
        <v>4180</v>
      </c>
      <c r="L36" s="53">
        <v>310</v>
      </c>
      <c r="M36" s="53">
        <v>10.9</v>
      </c>
      <c r="N36" s="53">
        <v>178</v>
      </c>
      <c r="O36" s="53">
        <v>314</v>
      </c>
      <c r="P36" s="53">
        <v>46.7</v>
      </c>
      <c r="Q36" s="53">
        <v>2.99</v>
      </c>
      <c r="R36" s="53">
        <v>2.78</v>
      </c>
    </row>
    <row r="37" spans="1:18" x14ac:dyDescent="0.25">
      <c r="A37" s="105"/>
      <c r="B37" s="51" t="s">
        <v>509</v>
      </c>
      <c r="C37" s="53">
        <v>300</v>
      </c>
      <c r="D37" s="53">
        <v>100</v>
      </c>
      <c r="E37" s="53">
        <v>6.5</v>
      </c>
      <c r="F37" s="53">
        <v>11</v>
      </c>
      <c r="G37" s="53">
        <v>12</v>
      </c>
      <c r="H37" s="53">
        <v>7</v>
      </c>
      <c r="I37" s="53">
        <v>40.5</v>
      </c>
      <c r="J37" s="53">
        <v>31.8</v>
      </c>
      <c r="K37" s="53">
        <v>5830</v>
      </c>
      <c r="L37" s="53">
        <v>389</v>
      </c>
      <c r="M37" s="53">
        <v>12</v>
      </c>
      <c r="N37" s="53">
        <v>224</v>
      </c>
      <c r="O37" s="53">
        <v>393</v>
      </c>
      <c r="P37" s="53">
        <v>54.8</v>
      </c>
      <c r="Q37" s="53">
        <v>3.12</v>
      </c>
      <c r="R37" s="53">
        <v>2.83</v>
      </c>
    </row>
    <row r="38" spans="1:18" x14ac:dyDescent="0.25">
      <c r="A38" s="105"/>
      <c r="B38" s="51" t="s">
        <v>510</v>
      </c>
      <c r="C38" s="53">
        <v>330</v>
      </c>
      <c r="D38" s="53">
        <v>105</v>
      </c>
      <c r="E38" s="53">
        <v>7</v>
      </c>
      <c r="F38" s="53">
        <v>11.7</v>
      </c>
      <c r="G38" s="53">
        <v>13</v>
      </c>
      <c r="H38" s="53">
        <v>7.5</v>
      </c>
      <c r="I38" s="53">
        <v>46.5</v>
      </c>
      <c r="J38" s="53">
        <v>36.5</v>
      </c>
      <c r="K38" s="53">
        <v>8010</v>
      </c>
      <c r="L38" s="53">
        <v>486</v>
      </c>
      <c r="M38" s="53">
        <v>13.1</v>
      </c>
      <c r="N38" s="53">
        <v>281</v>
      </c>
      <c r="O38" s="53">
        <v>491</v>
      </c>
      <c r="P38" s="53">
        <v>64.599999999999994</v>
      </c>
      <c r="Q38" s="53">
        <v>3.25</v>
      </c>
      <c r="R38" s="53">
        <v>2.9</v>
      </c>
    </row>
    <row r="39" spans="1:18" x14ac:dyDescent="0.25">
      <c r="A39" s="105"/>
      <c r="B39" s="51" t="s">
        <v>511</v>
      </c>
      <c r="C39" s="53">
        <v>360</v>
      </c>
      <c r="D39" s="53">
        <v>110</v>
      </c>
      <c r="E39" s="53">
        <v>7.5</v>
      </c>
      <c r="F39" s="53">
        <v>12.6</v>
      </c>
      <c r="G39" s="53">
        <v>14</v>
      </c>
      <c r="H39" s="53">
        <v>8.5</v>
      </c>
      <c r="I39" s="53">
        <v>53.4</v>
      </c>
      <c r="J39" s="53">
        <v>41.9</v>
      </c>
      <c r="K39" s="53">
        <v>10850</v>
      </c>
      <c r="L39" s="53">
        <v>603</v>
      </c>
      <c r="M39" s="53">
        <v>14.3</v>
      </c>
      <c r="N39" s="53">
        <v>350</v>
      </c>
      <c r="O39" s="53">
        <v>611</v>
      </c>
      <c r="P39" s="53">
        <v>76.3</v>
      </c>
      <c r="Q39" s="53">
        <v>3.38</v>
      </c>
      <c r="R39" s="53">
        <v>2.99</v>
      </c>
    </row>
    <row r="40" spans="1:18" ht="16.5" thickBot="1" x14ac:dyDescent="0.3">
      <c r="A40" s="106"/>
      <c r="B40" s="51" t="s">
        <v>512</v>
      </c>
      <c r="C40" s="53">
        <v>400</v>
      </c>
      <c r="D40" s="53">
        <v>115</v>
      </c>
      <c r="E40" s="53">
        <v>8</v>
      </c>
      <c r="F40" s="53">
        <v>13.5</v>
      </c>
      <c r="G40" s="53">
        <v>15</v>
      </c>
      <c r="H40" s="53">
        <v>9</v>
      </c>
      <c r="I40" s="53">
        <v>61.5</v>
      </c>
      <c r="J40" s="53">
        <v>48.3</v>
      </c>
      <c r="K40" s="53">
        <v>15260</v>
      </c>
      <c r="L40" s="53">
        <v>763</v>
      </c>
      <c r="M40" s="53">
        <v>15.8</v>
      </c>
      <c r="N40" s="53">
        <v>445</v>
      </c>
      <c r="O40" s="53">
        <v>760</v>
      </c>
      <c r="P40" s="53">
        <v>89.9</v>
      </c>
      <c r="Q40" s="53">
        <v>3.51</v>
      </c>
      <c r="R40" s="53">
        <v>3.05</v>
      </c>
    </row>
    <row r="41" spans="1:18" x14ac:dyDescent="0.25">
      <c r="A41" s="104" t="s">
        <v>559</v>
      </c>
      <c r="B41" s="50" t="s">
        <v>513</v>
      </c>
      <c r="C41" s="52">
        <v>50</v>
      </c>
      <c r="D41" s="52">
        <v>32</v>
      </c>
      <c r="E41" s="52">
        <v>4.2</v>
      </c>
      <c r="F41" s="52">
        <v>7</v>
      </c>
      <c r="G41" s="52">
        <v>6.5</v>
      </c>
      <c r="H41" s="52">
        <v>2.5</v>
      </c>
      <c r="I41" s="52">
        <v>6.1</v>
      </c>
      <c r="J41" s="52">
        <v>4.79</v>
      </c>
      <c r="K41" s="50">
        <v>22.9</v>
      </c>
      <c r="L41" s="52">
        <v>9.17</v>
      </c>
      <c r="M41" s="52">
        <v>1.94</v>
      </c>
      <c r="N41" s="52">
        <v>5.62</v>
      </c>
      <c r="O41" s="52">
        <v>6.02</v>
      </c>
      <c r="P41" s="52">
        <v>3.05</v>
      </c>
      <c r="Q41" s="52">
        <v>0.99299999999999999</v>
      </c>
      <c r="R41" s="52">
        <v>1.23</v>
      </c>
    </row>
    <row r="42" spans="1:18" x14ac:dyDescent="0.25">
      <c r="A42" s="105"/>
      <c r="B42" s="51" t="s">
        <v>514</v>
      </c>
      <c r="C42" s="53">
        <v>65</v>
      </c>
      <c r="D42" s="53">
        <v>36</v>
      </c>
      <c r="E42" s="53">
        <v>4.2</v>
      </c>
      <c r="F42" s="53">
        <v>7.2</v>
      </c>
      <c r="G42" s="53">
        <v>6.5</v>
      </c>
      <c r="H42" s="53">
        <v>2.5</v>
      </c>
      <c r="I42" s="53">
        <v>7.41</v>
      </c>
      <c r="J42" s="53">
        <v>5.82</v>
      </c>
      <c r="K42" s="51">
        <v>48.9</v>
      </c>
      <c r="L42" s="53">
        <v>15.05</v>
      </c>
      <c r="M42" s="53">
        <v>2.57</v>
      </c>
      <c r="N42" s="53">
        <v>9.02</v>
      </c>
      <c r="O42" s="53">
        <v>9.42</v>
      </c>
      <c r="P42" s="53">
        <v>4.13</v>
      </c>
      <c r="Q42" s="53">
        <v>1.127</v>
      </c>
      <c r="R42" s="53">
        <v>1.32</v>
      </c>
    </row>
    <row r="43" spans="1:18" x14ac:dyDescent="0.25">
      <c r="A43" s="105"/>
      <c r="B43" s="51" t="s">
        <v>515</v>
      </c>
      <c r="C43" s="53">
        <v>80</v>
      </c>
      <c r="D43" s="53">
        <v>40</v>
      </c>
      <c r="E43" s="53">
        <v>4.2</v>
      </c>
      <c r="F43" s="53">
        <v>7.4</v>
      </c>
      <c r="G43" s="53">
        <v>7.5</v>
      </c>
      <c r="H43" s="53">
        <v>2.5</v>
      </c>
      <c r="I43" s="53">
        <v>8.82</v>
      </c>
      <c r="J43" s="53">
        <v>6.92</v>
      </c>
      <c r="K43" s="51">
        <v>90</v>
      </c>
      <c r="L43" s="53">
        <v>22.5</v>
      </c>
      <c r="M43" s="53">
        <v>3.19</v>
      </c>
      <c r="N43" s="53">
        <v>13.31</v>
      </c>
      <c r="O43" s="53">
        <v>13.93</v>
      </c>
      <c r="P43" s="53">
        <v>5.38</v>
      </c>
      <c r="Q43" s="53">
        <v>1.2569999999999999</v>
      </c>
      <c r="R43" s="53">
        <v>1.41</v>
      </c>
    </row>
    <row r="44" spans="1:18" x14ac:dyDescent="0.25">
      <c r="A44" s="105"/>
      <c r="B44" s="51" t="s">
        <v>516</v>
      </c>
      <c r="C44" s="53">
        <v>100</v>
      </c>
      <c r="D44" s="53">
        <v>46</v>
      </c>
      <c r="E44" s="53">
        <v>4.2</v>
      </c>
      <c r="F44" s="53">
        <v>7.6</v>
      </c>
      <c r="G44" s="53">
        <v>9</v>
      </c>
      <c r="H44" s="53">
        <v>3</v>
      </c>
      <c r="I44" s="53">
        <v>10.79</v>
      </c>
      <c r="J44" s="53">
        <v>8.4700000000000006</v>
      </c>
      <c r="K44" s="51">
        <v>175.9</v>
      </c>
      <c r="L44" s="53">
        <v>35.17</v>
      </c>
      <c r="M44" s="53">
        <v>4.04</v>
      </c>
      <c r="N44" s="53">
        <v>20.55</v>
      </c>
      <c r="O44" s="53">
        <v>22.68</v>
      </c>
      <c r="P44" s="53">
        <v>7.47</v>
      </c>
      <c r="Q44" s="53">
        <v>1.45</v>
      </c>
      <c r="R44" s="53">
        <v>1.56</v>
      </c>
    </row>
    <row r="45" spans="1:18" x14ac:dyDescent="0.25">
      <c r="A45" s="105"/>
      <c r="B45" s="51" t="s">
        <v>517</v>
      </c>
      <c r="C45" s="53">
        <v>120</v>
      </c>
      <c r="D45" s="53">
        <v>52</v>
      </c>
      <c r="E45" s="53">
        <v>4.5</v>
      </c>
      <c r="F45" s="53">
        <v>7.8</v>
      </c>
      <c r="G45" s="53">
        <v>9.5</v>
      </c>
      <c r="H45" s="53">
        <v>3</v>
      </c>
      <c r="I45" s="53">
        <v>13.09</v>
      </c>
      <c r="J45" s="53">
        <v>10.24</v>
      </c>
      <c r="K45" s="51">
        <v>307</v>
      </c>
      <c r="L45" s="53">
        <v>51.17</v>
      </c>
      <c r="M45" s="53">
        <v>4.84</v>
      </c>
      <c r="N45" s="53">
        <v>29.75</v>
      </c>
      <c r="O45" s="53">
        <v>35.119999999999997</v>
      </c>
      <c r="P45" s="53">
        <v>10.029999999999999</v>
      </c>
      <c r="Q45" s="53">
        <v>1.6379999999999999</v>
      </c>
      <c r="R45" s="53">
        <v>1.7</v>
      </c>
    </row>
    <row r="46" spans="1:18" x14ac:dyDescent="0.25">
      <c r="A46" s="105"/>
      <c r="B46" s="51" t="s">
        <v>518</v>
      </c>
      <c r="C46" s="53">
        <v>140</v>
      </c>
      <c r="D46" s="53">
        <v>58</v>
      </c>
      <c r="E46" s="53">
        <v>4.5999999999999996</v>
      </c>
      <c r="F46" s="53">
        <v>8.1</v>
      </c>
      <c r="G46" s="53">
        <v>10</v>
      </c>
      <c r="H46" s="53">
        <v>3</v>
      </c>
      <c r="I46" s="53">
        <v>15.41</v>
      </c>
      <c r="J46" s="53">
        <v>12.15</v>
      </c>
      <c r="K46" s="51">
        <v>495.7</v>
      </c>
      <c r="L46" s="53">
        <v>70.81</v>
      </c>
      <c r="M46" s="53">
        <v>5.67</v>
      </c>
      <c r="N46" s="53">
        <v>40.96</v>
      </c>
      <c r="O46" s="53">
        <v>51.76</v>
      </c>
      <c r="P46" s="53">
        <v>13.13</v>
      </c>
      <c r="Q46" s="53">
        <v>1.833</v>
      </c>
      <c r="R46" s="53">
        <v>1.86</v>
      </c>
    </row>
    <row r="47" spans="1:18" x14ac:dyDescent="0.25">
      <c r="A47" s="105"/>
      <c r="B47" s="51" t="s">
        <v>519</v>
      </c>
      <c r="C47" s="53">
        <v>160</v>
      </c>
      <c r="D47" s="53">
        <v>64</v>
      </c>
      <c r="E47" s="53">
        <v>4.7</v>
      </c>
      <c r="F47" s="53">
        <v>8.4</v>
      </c>
      <c r="G47" s="53">
        <v>11</v>
      </c>
      <c r="H47" s="53">
        <v>3.5</v>
      </c>
      <c r="I47" s="53">
        <v>17.850000000000001</v>
      </c>
      <c r="J47" s="53">
        <v>14.01</v>
      </c>
      <c r="K47" s="51">
        <v>755.5</v>
      </c>
      <c r="L47" s="53">
        <v>94.43</v>
      </c>
      <c r="M47" s="53">
        <v>6.5</v>
      </c>
      <c r="N47" s="53">
        <v>54.41</v>
      </c>
      <c r="O47" s="53">
        <v>73.17</v>
      </c>
      <c r="P47" s="53">
        <v>16.7</v>
      </c>
      <c r="Q47" s="53">
        <v>2.024</v>
      </c>
      <c r="R47" s="53">
        <v>2.02</v>
      </c>
    </row>
    <row r="48" spans="1:18" x14ac:dyDescent="0.25">
      <c r="A48" s="105"/>
      <c r="B48" s="51" t="s">
        <v>520</v>
      </c>
      <c r="C48" s="53">
        <v>180</v>
      </c>
      <c r="D48" s="53">
        <v>70</v>
      </c>
      <c r="E48" s="53">
        <v>4.8</v>
      </c>
      <c r="F48" s="53">
        <v>8.6999999999999993</v>
      </c>
      <c r="G48" s="53">
        <v>11.5</v>
      </c>
      <c r="H48" s="53">
        <v>3.5</v>
      </c>
      <c r="I48" s="53">
        <v>20.399999999999999</v>
      </c>
      <c r="J48" s="53">
        <v>16.010000000000002</v>
      </c>
      <c r="K48" s="51">
        <v>1097.9000000000001</v>
      </c>
      <c r="L48" s="53">
        <v>121.99</v>
      </c>
      <c r="M48" s="53">
        <v>7.34</v>
      </c>
      <c r="N48" s="53">
        <v>70.05</v>
      </c>
      <c r="O48" s="53">
        <v>100.51</v>
      </c>
      <c r="P48" s="53">
        <v>20.87</v>
      </c>
      <c r="Q48" s="53">
        <v>2.2189999999999999</v>
      </c>
      <c r="R48" s="53">
        <v>2.1800000000000002</v>
      </c>
    </row>
    <row r="49" spans="1:18" x14ac:dyDescent="0.25">
      <c r="A49" s="105"/>
      <c r="B49" s="51" t="s">
        <v>521</v>
      </c>
      <c r="C49" s="53">
        <v>200</v>
      </c>
      <c r="D49" s="53">
        <v>76</v>
      </c>
      <c r="E49" s="53">
        <v>4.9000000000000004</v>
      </c>
      <c r="F49" s="53">
        <v>9</v>
      </c>
      <c r="G49" s="53">
        <v>12</v>
      </c>
      <c r="H49" s="53">
        <v>4</v>
      </c>
      <c r="I49" s="53">
        <v>23.02</v>
      </c>
      <c r="J49" s="53">
        <v>18.07</v>
      </c>
      <c r="K49" s="51">
        <v>1537.1</v>
      </c>
      <c r="L49" s="53">
        <v>153.71</v>
      </c>
      <c r="M49" s="53">
        <v>8.17</v>
      </c>
      <c r="N49" s="53">
        <v>88.03</v>
      </c>
      <c r="O49" s="53">
        <v>134.07</v>
      </c>
      <c r="P49" s="53">
        <v>25.54</v>
      </c>
      <c r="Q49" s="53">
        <v>2.4129999999999998</v>
      </c>
      <c r="R49" s="53">
        <v>2.35</v>
      </c>
    </row>
    <row r="50" spans="1:18" x14ac:dyDescent="0.25">
      <c r="A50" s="105"/>
      <c r="B50" s="51" t="s">
        <v>522</v>
      </c>
      <c r="C50" s="53">
        <v>220</v>
      </c>
      <c r="D50" s="53">
        <v>82</v>
      </c>
      <c r="E50" s="53">
        <v>5.0999999999999996</v>
      </c>
      <c r="F50" s="53">
        <v>9.5</v>
      </c>
      <c r="G50" s="53">
        <v>13</v>
      </c>
      <c r="H50" s="53">
        <v>4</v>
      </c>
      <c r="I50" s="53">
        <v>26.36</v>
      </c>
      <c r="J50" s="53">
        <v>20.69</v>
      </c>
      <c r="K50" s="51">
        <v>2134.1999999999998</v>
      </c>
      <c r="L50" s="53">
        <v>194.02</v>
      </c>
      <c r="M50" s="53">
        <v>9</v>
      </c>
      <c r="N50" s="53">
        <v>111</v>
      </c>
      <c r="O50" s="53">
        <v>179.05</v>
      </c>
      <c r="P50" s="53">
        <v>31.54</v>
      </c>
      <c r="Q50" s="53">
        <v>2.6059999999999999</v>
      </c>
      <c r="R50" s="53">
        <v>2.52</v>
      </c>
    </row>
    <row r="51" spans="1:18" x14ac:dyDescent="0.25">
      <c r="A51" s="105"/>
      <c r="B51" s="51" t="s">
        <v>523</v>
      </c>
      <c r="C51" s="53">
        <v>240</v>
      </c>
      <c r="D51" s="53">
        <v>90</v>
      </c>
      <c r="E51" s="53">
        <v>5.3</v>
      </c>
      <c r="F51" s="53">
        <v>10</v>
      </c>
      <c r="G51" s="53">
        <v>13</v>
      </c>
      <c r="H51" s="53">
        <v>4</v>
      </c>
      <c r="I51" s="53">
        <v>30.19</v>
      </c>
      <c r="J51" s="53">
        <v>23.69</v>
      </c>
      <c r="K51" s="51">
        <v>2927</v>
      </c>
      <c r="L51" s="53">
        <v>243.92</v>
      </c>
      <c r="M51" s="53">
        <v>9.85</v>
      </c>
      <c r="N51" s="53">
        <v>139.08000000000001</v>
      </c>
      <c r="O51" s="53">
        <v>249.03</v>
      </c>
      <c r="P51" s="53">
        <v>40.07</v>
      </c>
      <c r="Q51" s="53">
        <v>2.8719999999999999</v>
      </c>
      <c r="R51" s="53">
        <v>2.78</v>
      </c>
    </row>
    <row r="52" spans="1:18" x14ac:dyDescent="0.25">
      <c r="A52" s="105"/>
      <c r="B52" s="51" t="s">
        <v>524</v>
      </c>
      <c r="C52" s="53">
        <v>270</v>
      </c>
      <c r="D52" s="53">
        <v>95</v>
      </c>
      <c r="E52" s="53">
        <v>5.8</v>
      </c>
      <c r="F52" s="53">
        <v>10.5</v>
      </c>
      <c r="G52" s="53">
        <v>13</v>
      </c>
      <c r="H52" s="53">
        <v>4.5</v>
      </c>
      <c r="I52" s="53">
        <v>34.869999999999997</v>
      </c>
      <c r="J52" s="53">
        <v>27.37</v>
      </c>
      <c r="K52" s="51">
        <v>4200.2</v>
      </c>
      <c r="L52" s="53">
        <v>311.12</v>
      </c>
      <c r="M52" s="53">
        <v>10.97</v>
      </c>
      <c r="N52" s="53">
        <v>178.25</v>
      </c>
      <c r="O52" s="53">
        <v>316.24</v>
      </c>
      <c r="P52" s="53">
        <v>47.43</v>
      </c>
      <c r="Q52" s="53">
        <v>3.0110000000000001</v>
      </c>
      <c r="R52" s="53">
        <v>2.83</v>
      </c>
    </row>
    <row r="53" spans="1:18" x14ac:dyDescent="0.25">
      <c r="A53" s="105"/>
      <c r="B53" s="51" t="s">
        <v>525</v>
      </c>
      <c r="C53" s="53">
        <v>300</v>
      </c>
      <c r="D53" s="53">
        <v>100</v>
      </c>
      <c r="E53" s="53">
        <v>6.3</v>
      </c>
      <c r="F53" s="53">
        <v>11</v>
      </c>
      <c r="G53" s="53">
        <v>13</v>
      </c>
      <c r="H53" s="53">
        <v>5</v>
      </c>
      <c r="I53" s="53">
        <v>39.94</v>
      </c>
      <c r="J53" s="53">
        <v>31.35</v>
      </c>
      <c r="K53" s="51">
        <v>5837.1</v>
      </c>
      <c r="L53" s="53">
        <v>389.14</v>
      </c>
      <c r="M53" s="53">
        <v>12.09</v>
      </c>
      <c r="N53" s="53">
        <v>224</v>
      </c>
      <c r="O53" s="53">
        <v>395.57</v>
      </c>
      <c r="P53" s="53">
        <v>55.58</v>
      </c>
      <c r="Q53" s="53">
        <v>3.1469999999999998</v>
      </c>
      <c r="R53" s="53">
        <v>2.88</v>
      </c>
    </row>
    <row r="54" spans="1:18" x14ac:dyDescent="0.25">
      <c r="A54" s="105"/>
      <c r="B54" s="51" t="s">
        <v>526</v>
      </c>
      <c r="C54" s="53">
        <v>330</v>
      </c>
      <c r="D54" s="53">
        <v>105</v>
      </c>
      <c r="E54" s="53">
        <v>6.9</v>
      </c>
      <c r="F54" s="53">
        <v>11.7</v>
      </c>
      <c r="G54" s="53">
        <v>13</v>
      </c>
      <c r="H54" s="53">
        <v>5</v>
      </c>
      <c r="I54" s="53">
        <v>46.15</v>
      </c>
      <c r="J54" s="53">
        <v>36.14</v>
      </c>
      <c r="K54" s="51">
        <v>8021.8</v>
      </c>
      <c r="L54" s="53">
        <v>488.17</v>
      </c>
      <c r="M54" s="53">
        <v>13.18</v>
      </c>
      <c r="N54" s="53">
        <v>281.23</v>
      </c>
      <c r="O54" s="53">
        <v>497.02</v>
      </c>
      <c r="P54" s="53">
        <v>65.78</v>
      </c>
      <c r="Q54" s="53">
        <v>3.282</v>
      </c>
      <c r="R54" s="53">
        <v>2.94</v>
      </c>
    </row>
    <row r="55" spans="1:18" x14ac:dyDescent="0.25">
      <c r="A55" s="105"/>
      <c r="B55" s="51" t="s">
        <v>527</v>
      </c>
      <c r="C55" s="53">
        <v>360</v>
      </c>
      <c r="D55" s="53">
        <v>110</v>
      </c>
      <c r="E55" s="53">
        <v>7.4</v>
      </c>
      <c r="F55" s="53">
        <v>12.6</v>
      </c>
      <c r="G55" s="53">
        <v>14</v>
      </c>
      <c r="H55" s="53">
        <v>6</v>
      </c>
      <c r="I55" s="53">
        <v>52.9</v>
      </c>
      <c r="J55" s="53">
        <v>41.53</v>
      </c>
      <c r="K55" s="51">
        <v>10864.5</v>
      </c>
      <c r="L55" s="53">
        <v>603.58000000000004</v>
      </c>
      <c r="M55" s="53">
        <v>14.33</v>
      </c>
      <c r="N55" s="53">
        <v>350.05</v>
      </c>
      <c r="O55" s="53">
        <v>618.91999999999996</v>
      </c>
      <c r="P55" s="53">
        <v>77.760000000000005</v>
      </c>
      <c r="Q55" s="53">
        <v>3.42</v>
      </c>
      <c r="R55" s="53">
        <v>3.04</v>
      </c>
    </row>
    <row r="56" spans="1:18" ht="16.5" thickBot="1" x14ac:dyDescent="0.3">
      <c r="A56" s="106"/>
      <c r="B56" s="51" t="s">
        <v>528</v>
      </c>
      <c r="C56" s="53">
        <v>400</v>
      </c>
      <c r="D56" s="53">
        <v>115</v>
      </c>
      <c r="E56" s="53">
        <v>7.9</v>
      </c>
      <c r="F56" s="53">
        <v>13.5</v>
      </c>
      <c r="G56" s="53">
        <v>15.5</v>
      </c>
      <c r="H56" s="53">
        <v>6</v>
      </c>
      <c r="I56" s="53">
        <v>61.11</v>
      </c>
      <c r="J56" s="53">
        <v>47.97</v>
      </c>
      <c r="K56" s="51">
        <v>15307.9</v>
      </c>
      <c r="L56" s="53">
        <v>765.4</v>
      </c>
      <c r="M56" s="53">
        <v>15.83</v>
      </c>
      <c r="N56" s="53">
        <v>445.41</v>
      </c>
      <c r="O56" s="53">
        <v>770.89</v>
      </c>
      <c r="P56" s="53">
        <v>91.8</v>
      </c>
      <c r="Q56" s="53">
        <v>3.552</v>
      </c>
      <c r="R56" s="53">
        <v>3.1</v>
      </c>
    </row>
    <row r="57" spans="1:18" x14ac:dyDescent="0.25">
      <c r="A57" s="104" t="s">
        <v>558</v>
      </c>
      <c r="B57" s="50" t="s">
        <v>529</v>
      </c>
      <c r="C57" s="52">
        <v>120</v>
      </c>
      <c r="D57" s="52">
        <v>30</v>
      </c>
      <c r="E57" s="52">
        <v>3</v>
      </c>
      <c r="F57" s="52">
        <v>4.8</v>
      </c>
      <c r="G57" s="52">
        <v>7</v>
      </c>
      <c r="H57" s="52" t="s">
        <v>530</v>
      </c>
      <c r="I57" s="52">
        <v>6.39</v>
      </c>
      <c r="J57" s="52">
        <v>5.0199999999999996</v>
      </c>
      <c r="K57" s="52">
        <v>135.26</v>
      </c>
      <c r="L57" s="52">
        <v>22.54</v>
      </c>
      <c r="M57" s="52">
        <v>4.5999999999999996</v>
      </c>
      <c r="N57" s="52">
        <v>13.43</v>
      </c>
      <c r="O57" s="52">
        <v>5.0199999999999996</v>
      </c>
      <c r="P57" s="52">
        <v>2.2400000000000002</v>
      </c>
      <c r="Q57" s="52">
        <v>0.89</v>
      </c>
      <c r="R57" s="52">
        <v>0.76</v>
      </c>
    </row>
    <row r="58" spans="1:18" x14ac:dyDescent="0.25">
      <c r="A58" s="105"/>
      <c r="B58" s="51" t="s">
        <v>531</v>
      </c>
      <c r="C58" s="53">
        <v>140</v>
      </c>
      <c r="D58" s="53">
        <v>32</v>
      </c>
      <c r="E58" s="53">
        <v>3.2</v>
      </c>
      <c r="F58" s="53">
        <v>5.6</v>
      </c>
      <c r="G58" s="53">
        <v>7</v>
      </c>
      <c r="H58" s="53" t="s">
        <v>532</v>
      </c>
      <c r="I58" s="53">
        <v>7.57</v>
      </c>
      <c r="J58" s="53">
        <v>5.94</v>
      </c>
      <c r="K58" s="53">
        <v>212.94</v>
      </c>
      <c r="L58" s="53">
        <v>30.42</v>
      </c>
      <c r="M58" s="53">
        <v>5.31</v>
      </c>
      <c r="N58" s="53">
        <v>18.23</v>
      </c>
      <c r="O58" s="53">
        <v>6.55</v>
      </c>
      <c r="P58" s="53">
        <v>2.7</v>
      </c>
      <c r="Q58" s="53">
        <v>0.93</v>
      </c>
      <c r="R58" s="53">
        <v>0.78</v>
      </c>
    </row>
    <row r="59" spans="1:18" x14ac:dyDescent="0.25">
      <c r="A59" s="105"/>
      <c r="B59" s="51" t="s">
        <v>533</v>
      </c>
      <c r="C59" s="53">
        <v>160</v>
      </c>
      <c r="D59" s="53">
        <v>35</v>
      </c>
      <c r="E59" s="53">
        <v>3.4</v>
      </c>
      <c r="F59" s="53">
        <v>5.3</v>
      </c>
      <c r="G59" s="53">
        <v>8</v>
      </c>
      <c r="H59" s="53" t="s">
        <v>532</v>
      </c>
      <c r="I59" s="53">
        <v>9.0399999999999991</v>
      </c>
      <c r="J59" s="53">
        <v>7.1</v>
      </c>
      <c r="K59" s="53">
        <v>331.96</v>
      </c>
      <c r="L59" s="53">
        <v>41.49</v>
      </c>
      <c r="M59" s="53">
        <v>6.06</v>
      </c>
      <c r="N59" s="53">
        <v>24.84</v>
      </c>
      <c r="O59" s="53">
        <v>9.23</v>
      </c>
      <c r="P59" s="53">
        <v>3.46</v>
      </c>
      <c r="Q59" s="53">
        <v>1.01</v>
      </c>
      <c r="R59" s="53">
        <v>0.83</v>
      </c>
    </row>
    <row r="60" spans="1:18" x14ac:dyDescent="0.25">
      <c r="A60" s="105"/>
      <c r="B60" s="51" t="s">
        <v>534</v>
      </c>
      <c r="C60" s="53">
        <v>180</v>
      </c>
      <c r="D60" s="53">
        <v>40</v>
      </c>
      <c r="E60" s="53">
        <v>3.6</v>
      </c>
      <c r="F60" s="53">
        <v>5.6</v>
      </c>
      <c r="G60" s="53">
        <v>8</v>
      </c>
      <c r="H60" s="53" t="s">
        <v>532</v>
      </c>
      <c r="I60" s="53">
        <v>10.81</v>
      </c>
      <c r="J60" s="53">
        <v>8.49</v>
      </c>
      <c r="K60" s="53">
        <v>503.87</v>
      </c>
      <c r="L60" s="53">
        <v>55.98</v>
      </c>
      <c r="M60" s="53">
        <v>6.83</v>
      </c>
      <c r="N60" s="53">
        <v>33.49</v>
      </c>
      <c r="O60" s="53">
        <v>14.64</v>
      </c>
      <c r="P60" s="53">
        <v>4.0999999999999996</v>
      </c>
      <c r="Q60" s="53">
        <v>1.1599999999999999</v>
      </c>
      <c r="R60" s="53">
        <v>0.94</v>
      </c>
    </row>
    <row r="61" spans="1:18" x14ac:dyDescent="0.25">
      <c r="A61" s="105"/>
      <c r="B61" s="51" t="s">
        <v>535</v>
      </c>
      <c r="C61" s="53">
        <v>200</v>
      </c>
      <c r="D61" s="53">
        <v>45</v>
      </c>
      <c r="E61" s="53">
        <v>3.8</v>
      </c>
      <c r="F61" s="53">
        <v>6</v>
      </c>
      <c r="G61" s="53">
        <v>9</v>
      </c>
      <c r="H61" s="53" t="s">
        <v>530</v>
      </c>
      <c r="I61" s="53">
        <v>12.89</v>
      </c>
      <c r="J61" s="53">
        <v>10.119999999999999</v>
      </c>
      <c r="K61" s="53">
        <v>748.17</v>
      </c>
      <c r="L61" s="53">
        <v>74.819999999999993</v>
      </c>
      <c r="M61" s="53">
        <v>7.62</v>
      </c>
      <c r="N61" s="53">
        <v>44.59</v>
      </c>
      <c r="O61" s="53">
        <v>22.37</v>
      </c>
      <c r="P61" s="53">
        <v>6.51</v>
      </c>
      <c r="Q61" s="53">
        <v>1.32</v>
      </c>
      <c r="R61" s="53">
        <v>1.06</v>
      </c>
    </row>
    <row r="62" spans="1:18" x14ac:dyDescent="0.25">
      <c r="A62" s="105"/>
      <c r="B62" s="51" t="s">
        <v>536</v>
      </c>
      <c r="C62" s="53">
        <v>220</v>
      </c>
      <c r="D62" s="53">
        <v>50</v>
      </c>
      <c r="E62" s="53">
        <v>4</v>
      </c>
      <c r="F62" s="53">
        <v>6.4</v>
      </c>
      <c r="G62" s="53">
        <v>10</v>
      </c>
      <c r="H62" s="53" t="s">
        <v>532</v>
      </c>
      <c r="I62" s="53">
        <v>15.11</v>
      </c>
      <c r="J62" s="53">
        <v>11.86</v>
      </c>
      <c r="K62" s="53">
        <v>1070.97</v>
      </c>
      <c r="L62" s="53">
        <v>97.36</v>
      </c>
      <c r="M62" s="53">
        <v>8.42</v>
      </c>
      <c r="N62" s="53">
        <v>57.82</v>
      </c>
      <c r="O62" s="53">
        <v>32.85</v>
      </c>
      <c r="P62" s="53">
        <v>8.61</v>
      </c>
      <c r="Q62" s="53">
        <v>1.47</v>
      </c>
      <c r="R62" s="53">
        <v>1.19</v>
      </c>
    </row>
    <row r="63" spans="1:18" x14ac:dyDescent="0.25">
      <c r="A63" s="105"/>
      <c r="B63" s="51" t="s">
        <v>537</v>
      </c>
      <c r="C63" s="53">
        <v>240</v>
      </c>
      <c r="D63" s="53">
        <v>55</v>
      </c>
      <c r="E63" s="53">
        <v>4.2</v>
      </c>
      <c r="F63" s="53">
        <v>6.8</v>
      </c>
      <c r="G63" s="53">
        <v>10</v>
      </c>
      <c r="H63" s="53" t="s">
        <v>532</v>
      </c>
      <c r="I63" s="53">
        <v>17.41</v>
      </c>
      <c r="J63" s="53">
        <v>13.66</v>
      </c>
      <c r="K63" s="53">
        <v>1476.39</v>
      </c>
      <c r="L63" s="53">
        <v>123.03</v>
      </c>
      <c r="M63" s="53">
        <v>9.2100000000000009</v>
      </c>
      <c r="N63" s="53">
        <v>72.900000000000006</v>
      </c>
      <c r="O63" s="53">
        <v>46.25</v>
      </c>
      <c r="P63" s="53">
        <v>11.04</v>
      </c>
      <c r="Q63" s="53">
        <v>1.63</v>
      </c>
      <c r="R63" s="53">
        <v>1.31</v>
      </c>
    </row>
    <row r="64" spans="1:18" x14ac:dyDescent="0.25">
      <c r="A64" s="105"/>
      <c r="B64" s="51" t="s">
        <v>538</v>
      </c>
      <c r="C64" s="53">
        <v>270</v>
      </c>
      <c r="D64" s="53">
        <v>60</v>
      </c>
      <c r="E64" s="53">
        <v>4.5</v>
      </c>
      <c r="F64" s="53">
        <v>7.3</v>
      </c>
      <c r="G64" s="53">
        <v>11</v>
      </c>
      <c r="H64" s="53" t="s">
        <v>532</v>
      </c>
      <c r="I64" s="53">
        <v>20.77</v>
      </c>
      <c r="J64" s="53">
        <v>16.3</v>
      </c>
      <c r="K64" s="53">
        <v>2218.16</v>
      </c>
      <c r="L64" s="53">
        <v>164.31</v>
      </c>
      <c r="M64" s="53">
        <v>10.33</v>
      </c>
      <c r="N64" s="53">
        <v>97.48</v>
      </c>
      <c r="O64" s="53">
        <v>65.099999999999994</v>
      </c>
      <c r="P64" s="53">
        <v>14.17</v>
      </c>
      <c r="Q64" s="53">
        <v>1.77</v>
      </c>
      <c r="R64" s="53">
        <v>1.4</v>
      </c>
    </row>
    <row r="65" spans="1:18" ht="16.5" thickBot="1" x14ac:dyDescent="0.3">
      <c r="A65" s="106"/>
      <c r="B65" s="51" t="s">
        <v>539</v>
      </c>
      <c r="C65" s="53">
        <v>300</v>
      </c>
      <c r="D65" s="53">
        <v>65</v>
      </c>
      <c r="E65" s="53">
        <v>4.8</v>
      </c>
      <c r="F65" s="53">
        <v>7.8</v>
      </c>
      <c r="G65" s="53">
        <v>11</v>
      </c>
      <c r="H65" s="53" t="s">
        <v>532</v>
      </c>
      <c r="I65" s="53">
        <v>24.3</v>
      </c>
      <c r="J65" s="53">
        <v>19.07</v>
      </c>
      <c r="K65" s="53">
        <v>3186.74</v>
      </c>
      <c r="L65" s="53">
        <v>212.45</v>
      </c>
      <c r="M65" s="53">
        <v>11.45</v>
      </c>
      <c r="N65" s="53">
        <v>126.24</v>
      </c>
      <c r="O65" s="53">
        <v>89.08</v>
      </c>
      <c r="P65" s="53">
        <v>17.84</v>
      </c>
      <c r="Q65" s="53">
        <v>1.91</v>
      </c>
      <c r="R65" s="53">
        <v>1.51</v>
      </c>
    </row>
    <row r="66" spans="1:18" x14ac:dyDescent="0.25">
      <c r="A66" s="104" t="s">
        <v>557</v>
      </c>
      <c r="B66" s="50" t="s">
        <v>540</v>
      </c>
      <c r="C66" s="52">
        <v>80</v>
      </c>
      <c r="D66" s="52">
        <v>45</v>
      </c>
      <c r="E66" s="52">
        <v>5.5</v>
      </c>
      <c r="F66" s="52">
        <v>9</v>
      </c>
      <c r="G66" s="52">
        <v>9</v>
      </c>
      <c r="H66" s="52">
        <v>1.5</v>
      </c>
      <c r="I66" s="52">
        <v>6</v>
      </c>
      <c r="J66" s="52">
        <v>11.8</v>
      </c>
      <c r="K66" s="52">
        <v>9.26</v>
      </c>
      <c r="L66" s="52">
        <v>115.82</v>
      </c>
      <c r="M66" s="52">
        <v>28.95</v>
      </c>
      <c r="N66" s="52">
        <v>3.13</v>
      </c>
      <c r="O66" s="52">
        <v>22.24</v>
      </c>
      <c r="P66" s="52">
        <v>7.63</v>
      </c>
      <c r="Q66" s="52">
        <v>1.38</v>
      </c>
      <c r="R66" s="52">
        <v>1.57</v>
      </c>
    </row>
    <row r="67" spans="1:18" x14ac:dyDescent="0.25">
      <c r="A67" s="105"/>
      <c r="B67" s="51" t="s">
        <v>541</v>
      </c>
      <c r="C67" s="53">
        <v>140</v>
      </c>
      <c r="D67" s="53">
        <v>58</v>
      </c>
      <c r="E67" s="53">
        <v>6</v>
      </c>
      <c r="F67" s="53">
        <v>9.5</v>
      </c>
      <c r="G67" s="53">
        <v>9.5</v>
      </c>
      <c r="H67" s="53">
        <v>4.75</v>
      </c>
      <c r="I67" s="53" t="s">
        <v>532</v>
      </c>
      <c r="J67" s="53">
        <v>18.510000000000002</v>
      </c>
      <c r="K67" s="53">
        <v>14.53</v>
      </c>
      <c r="L67" s="53">
        <v>563.70000000000005</v>
      </c>
      <c r="M67" s="53">
        <v>80.5</v>
      </c>
      <c r="N67" s="53">
        <v>5.52</v>
      </c>
      <c r="O67" s="53">
        <v>53.2</v>
      </c>
      <c r="P67" s="53">
        <v>13.01</v>
      </c>
      <c r="Q67" s="53">
        <v>1.7</v>
      </c>
      <c r="R67" s="53">
        <v>1.71</v>
      </c>
    </row>
    <row r="68" spans="1:18" x14ac:dyDescent="0.25">
      <c r="A68" s="105"/>
      <c r="B68" s="51" t="s">
        <v>542</v>
      </c>
      <c r="C68" s="53">
        <v>140</v>
      </c>
      <c r="D68" s="53">
        <v>60</v>
      </c>
      <c r="E68" s="53">
        <v>8</v>
      </c>
      <c r="F68" s="53">
        <v>9.5</v>
      </c>
      <c r="G68" s="53">
        <v>9.5</v>
      </c>
      <c r="H68" s="53">
        <v>5</v>
      </c>
      <c r="I68" s="53">
        <v>10</v>
      </c>
      <c r="J68" s="53">
        <v>21.3</v>
      </c>
      <c r="K68" s="53">
        <v>16.72</v>
      </c>
      <c r="L68" s="53">
        <v>609.1</v>
      </c>
      <c r="M68" s="53">
        <v>87.01</v>
      </c>
      <c r="N68" s="53">
        <v>5.35</v>
      </c>
      <c r="O68" s="53">
        <v>61.02</v>
      </c>
      <c r="P68" s="53">
        <v>14.09</v>
      </c>
      <c r="Q68" s="53">
        <v>1.69</v>
      </c>
      <c r="R68" s="53">
        <v>1.67</v>
      </c>
    </row>
    <row r="69" spans="1:18" x14ac:dyDescent="0.25">
      <c r="A69" s="105"/>
      <c r="B69" s="51" t="s">
        <v>543</v>
      </c>
      <c r="C69" s="53">
        <v>160</v>
      </c>
      <c r="D69" s="53">
        <v>63</v>
      </c>
      <c r="E69" s="53">
        <v>6.5</v>
      </c>
      <c r="F69" s="53">
        <v>10</v>
      </c>
      <c r="G69" s="53">
        <v>10</v>
      </c>
      <c r="H69" s="53">
        <v>5</v>
      </c>
      <c r="I69" s="53" t="s">
        <v>530</v>
      </c>
      <c r="J69" s="53">
        <v>21.95</v>
      </c>
      <c r="K69" s="53">
        <v>17.53</v>
      </c>
      <c r="L69" s="53">
        <v>866.2</v>
      </c>
      <c r="M69" s="53">
        <v>108.3</v>
      </c>
      <c r="N69" s="53">
        <v>6.28</v>
      </c>
      <c r="O69" s="53">
        <v>73.3</v>
      </c>
      <c r="P69" s="53">
        <v>16.3</v>
      </c>
      <c r="Q69" s="53">
        <v>1.83</v>
      </c>
      <c r="R69" s="53">
        <v>1.8</v>
      </c>
    </row>
    <row r="70" spans="1:18" x14ac:dyDescent="0.25">
      <c r="A70" s="105"/>
      <c r="B70" s="51" t="s">
        <v>544</v>
      </c>
      <c r="C70" s="53">
        <v>160</v>
      </c>
      <c r="D70" s="53">
        <v>65</v>
      </c>
      <c r="E70" s="53">
        <v>8.5</v>
      </c>
      <c r="F70" s="53">
        <v>10</v>
      </c>
      <c r="G70" s="53">
        <v>10</v>
      </c>
      <c r="H70" s="53">
        <v>5</v>
      </c>
      <c r="I70" s="53" t="s">
        <v>532</v>
      </c>
      <c r="J70" s="53">
        <v>25.15</v>
      </c>
      <c r="K70" s="53">
        <v>19.739999999999998</v>
      </c>
      <c r="L70" s="53">
        <v>934.5</v>
      </c>
      <c r="M70" s="53">
        <v>116.8</v>
      </c>
      <c r="N70" s="53">
        <v>6.1</v>
      </c>
      <c r="O70" s="53">
        <v>83.4</v>
      </c>
      <c r="P70" s="53">
        <v>17.55</v>
      </c>
      <c r="Q70" s="53">
        <v>1.82</v>
      </c>
      <c r="R70" s="53">
        <v>1.75</v>
      </c>
    </row>
    <row r="71" spans="1:18" x14ac:dyDescent="0.25">
      <c r="A71" s="105"/>
      <c r="B71" s="51" t="s">
        <v>545</v>
      </c>
      <c r="C71" s="53">
        <v>180</v>
      </c>
      <c r="D71" s="53">
        <v>68</v>
      </c>
      <c r="E71" s="53">
        <v>7</v>
      </c>
      <c r="F71" s="53">
        <v>10.5</v>
      </c>
      <c r="G71" s="53">
        <v>10.5</v>
      </c>
      <c r="H71" s="53">
        <v>5.3</v>
      </c>
      <c r="I71" s="53" t="s">
        <v>532</v>
      </c>
      <c r="J71" s="53">
        <v>25.7</v>
      </c>
      <c r="K71" s="53">
        <v>20.2</v>
      </c>
      <c r="L71" s="53">
        <v>1272</v>
      </c>
      <c r="M71" s="53">
        <v>141</v>
      </c>
      <c r="N71" s="53">
        <v>7.04</v>
      </c>
      <c r="O71" s="53">
        <v>98.5</v>
      </c>
      <c r="P71" s="53">
        <v>20.100000000000001</v>
      </c>
      <c r="Q71" s="53">
        <v>1.96</v>
      </c>
      <c r="R71" s="53">
        <v>1.88</v>
      </c>
    </row>
    <row r="72" spans="1:18" x14ac:dyDescent="0.25">
      <c r="A72" s="105"/>
      <c r="B72" s="51" t="s">
        <v>546</v>
      </c>
      <c r="C72" s="53">
        <v>180</v>
      </c>
      <c r="D72" s="53">
        <v>70</v>
      </c>
      <c r="E72" s="53">
        <v>9</v>
      </c>
      <c r="F72" s="53">
        <v>10.5</v>
      </c>
      <c r="G72" s="53">
        <v>10.5</v>
      </c>
      <c r="H72" s="53">
        <v>5.3</v>
      </c>
      <c r="I72" s="53" t="s">
        <v>532</v>
      </c>
      <c r="J72" s="53">
        <v>29.3</v>
      </c>
      <c r="K72" s="53">
        <v>23</v>
      </c>
      <c r="L72" s="53">
        <v>1370</v>
      </c>
      <c r="M72" s="53">
        <v>152</v>
      </c>
      <c r="N72" s="53">
        <v>6.84</v>
      </c>
      <c r="O72" s="53">
        <v>111</v>
      </c>
      <c r="P72" s="53">
        <v>21.3</v>
      </c>
      <c r="Q72" s="53">
        <v>1.95</v>
      </c>
      <c r="R72" s="53">
        <v>1.84</v>
      </c>
    </row>
    <row r="73" spans="1:18" x14ac:dyDescent="0.25">
      <c r="A73" s="105"/>
      <c r="B73" s="51" t="s">
        <v>547</v>
      </c>
      <c r="C73" s="53">
        <v>180</v>
      </c>
      <c r="D73" s="53">
        <v>100</v>
      </c>
      <c r="E73" s="53">
        <v>8</v>
      </c>
      <c r="F73" s="53">
        <v>10.5</v>
      </c>
      <c r="G73" s="53">
        <v>10.5</v>
      </c>
      <c r="H73" s="53">
        <v>5</v>
      </c>
      <c r="I73" s="53">
        <v>6</v>
      </c>
      <c r="J73" s="53">
        <v>34.04</v>
      </c>
      <c r="K73" s="53">
        <v>26.72</v>
      </c>
      <c r="L73" s="53">
        <v>1791.01</v>
      </c>
      <c r="M73" s="53">
        <v>199</v>
      </c>
      <c r="N73" s="53">
        <v>7.25</v>
      </c>
      <c r="O73" s="53">
        <v>305.48</v>
      </c>
      <c r="P73" s="51">
        <v>43.58</v>
      </c>
      <c r="Q73" s="51">
        <v>3</v>
      </c>
      <c r="R73" s="53">
        <v>2.99</v>
      </c>
    </row>
    <row r="74" spans="1:18" x14ac:dyDescent="0.25">
      <c r="A74" s="105"/>
      <c r="B74" s="51" t="s">
        <v>548</v>
      </c>
      <c r="C74" s="53">
        <v>200</v>
      </c>
      <c r="D74" s="53">
        <v>73</v>
      </c>
      <c r="E74" s="53">
        <v>7</v>
      </c>
      <c r="F74" s="53">
        <v>11</v>
      </c>
      <c r="G74" s="53">
        <v>11</v>
      </c>
      <c r="H74" s="53">
        <v>5.5</v>
      </c>
      <c r="I74" s="53">
        <v>10</v>
      </c>
      <c r="J74" s="53">
        <v>28.83</v>
      </c>
      <c r="K74" s="53">
        <v>22.63</v>
      </c>
      <c r="L74" s="53">
        <v>1780.37</v>
      </c>
      <c r="M74" s="53">
        <v>178.04</v>
      </c>
      <c r="N74" s="53">
        <v>7.86</v>
      </c>
      <c r="O74" s="53">
        <v>128.04</v>
      </c>
      <c r="P74" s="51">
        <v>24.19</v>
      </c>
      <c r="Q74" s="51">
        <v>2.11</v>
      </c>
      <c r="R74" s="53">
        <v>2.02</v>
      </c>
    </row>
    <row r="75" spans="1:18" x14ac:dyDescent="0.25">
      <c r="A75" s="105"/>
      <c r="B75" s="51" t="s">
        <v>549</v>
      </c>
      <c r="C75" s="53">
        <v>200</v>
      </c>
      <c r="D75" s="53">
        <v>75</v>
      </c>
      <c r="E75" s="53">
        <v>9</v>
      </c>
      <c r="F75" s="53">
        <v>11</v>
      </c>
      <c r="G75" s="53">
        <v>11</v>
      </c>
      <c r="H75" s="53">
        <v>5.5</v>
      </c>
      <c r="I75" s="53">
        <v>10</v>
      </c>
      <c r="J75" s="53">
        <v>32.83</v>
      </c>
      <c r="K75" s="53">
        <v>25.77</v>
      </c>
      <c r="L75" s="53">
        <v>1913.71</v>
      </c>
      <c r="M75" s="53">
        <v>191.37</v>
      </c>
      <c r="N75" s="53">
        <v>7.64</v>
      </c>
      <c r="O75" s="53">
        <v>143.63</v>
      </c>
      <c r="P75" s="51">
        <v>25.88</v>
      </c>
      <c r="Q75" s="51">
        <v>2.09</v>
      </c>
      <c r="R75" s="53">
        <v>1.95</v>
      </c>
    </row>
    <row r="76" spans="1:18" x14ac:dyDescent="0.25">
      <c r="A76" s="105"/>
      <c r="B76" s="51" t="s">
        <v>550</v>
      </c>
      <c r="C76" s="53">
        <v>200</v>
      </c>
      <c r="D76" s="53">
        <v>100</v>
      </c>
      <c r="E76" s="53">
        <v>8</v>
      </c>
      <c r="F76" s="53">
        <v>11</v>
      </c>
      <c r="G76" s="53">
        <v>11</v>
      </c>
      <c r="H76" s="53">
        <v>5.5</v>
      </c>
      <c r="I76" s="53">
        <v>6</v>
      </c>
      <c r="J76" s="53">
        <v>36.58</v>
      </c>
      <c r="K76" s="53">
        <v>28.71</v>
      </c>
      <c r="L76" s="53">
        <v>2360.88</v>
      </c>
      <c r="M76" s="53">
        <v>236.09</v>
      </c>
      <c r="N76" s="53">
        <v>8.0299999999999994</v>
      </c>
      <c r="O76" s="53">
        <v>327.23</v>
      </c>
      <c r="P76" s="51">
        <v>46.3</v>
      </c>
      <c r="Q76" s="51">
        <v>2.99</v>
      </c>
      <c r="R76" s="53">
        <v>2.93</v>
      </c>
    </row>
    <row r="77" spans="1:18" x14ac:dyDescent="0.25">
      <c r="A77" s="105"/>
      <c r="B77" s="51" t="s">
        <v>551</v>
      </c>
      <c r="C77" s="53">
        <v>240</v>
      </c>
      <c r="D77" s="53">
        <v>85</v>
      </c>
      <c r="E77" s="53">
        <v>9.5</v>
      </c>
      <c r="F77" s="53">
        <v>14</v>
      </c>
      <c r="G77" s="53">
        <v>14</v>
      </c>
      <c r="H77" s="53">
        <v>7</v>
      </c>
      <c r="I77" s="53" t="s">
        <v>532</v>
      </c>
      <c r="J77" s="53">
        <v>44.46</v>
      </c>
      <c r="K77" s="53">
        <v>34.9</v>
      </c>
      <c r="L77" s="53">
        <v>3841.35</v>
      </c>
      <c r="M77" s="53">
        <v>320.11</v>
      </c>
      <c r="N77" s="53">
        <v>9.2899999999999991</v>
      </c>
      <c r="O77" s="53">
        <v>268.89</v>
      </c>
      <c r="P77" s="51">
        <v>43.7</v>
      </c>
      <c r="Q77" s="51">
        <v>2.46</v>
      </c>
      <c r="R77" s="53">
        <v>2.35</v>
      </c>
    </row>
    <row r="78" spans="1:18" x14ac:dyDescent="0.25">
      <c r="A78" s="105"/>
      <c r="B78" s="51" t="s">
        <v>552</v>
      </c>
      <c r="C78" s="53">
        <v>260</v>
      </c>
      <c r="D78" s="53">
        <v>65</v>
      </c>
      <c r="E78" s="53">
        <v>10</v>
      </c>
      <c r="F78" s="53">
        <v>16</v>
      </c>
      <c r="G78" s="53">
        <v>15</v>
      </c>
      <c r="H78" s="53">
        <v>3</v>
      </c>
      <c r="I78" s="53" t="s">
        <v>532</v>
      </c>
      <c r="J78" s="53">
        <v>44.09</v>
      </c>
      <c r="K78" s="53">
        <v>34.61</v>
      </c>
      <c r="L78" s="53">
        <v>4088</v>
      </c>
      <c r="M78" s="53">
        <v>314.5</v>
      </c>
      <c r="N78" s="53">
        <v>9.6300000000000008</v>
      </c>
      <c r="O78" s="53">
        <v>115.6</v>
      </c>
      <c r="P78" s="51">
        <v>171.6</v>
      </c>
      <c r="Q78" s="51">
        <v>5.03</v>
      </c>
      <c r="R78" s="53">
        <v>3.91</v>
      </c>
    </row>
    <row r="79" spans="1:18" x14ac:dyDescent="0.25">
      <c r="A79" s="105"/>
      <c r="B79" s="51" t="s">
        <v>553</v>
      </c>
      <c r="C79" s="53">
        <v>260</v>
      </c>
      <c r="D79" s="53">
        <v>90</v>
      </c>
      <c r="E79" s="53">
        <v>10</v>
      </c>
      <c r="F79" s="53">
        <v>15</v>
      </c>
      <c r="G79" s="53">
        <v>15</v>
      </c>
      <c r="H79" s="53">
        <v>7.5</v>
      </c>
      <c r="I79" s="53">
        <v>8</v>
      </c>
      <c r="J79" s="53">
        <v>50.6</v>
      </c>
      <c r="K79" s="53">
        <v>39.72</v>
      </c>
      <c r="L79" s="53">
        <v>5130.83</v>
      </c>
      <c r="M79" s="53">
        <v>394.68</v>
      </c>
      <c r="N79" s="53">
        <v>10.07</v>
      </c>
      <c r="O79" s="53">
        <v>343.15</v>
      </c>
      <c r="P79" s="51">
        <v>52.62</v>
      </c>
      <c r="Q79" s="51">
        <v>2.6</v>
      </c>
      <c r="R79" s="53">
        <v>2.48</v>
      </c>
    </row>
    <row r="80" spans="1:18" x14ac:dyDescent="0.25">
      <c r="A80" s="105"/>
      <c r="B80" s="51" t="s">
        <v>554</v>
      </c>
      <c r="C80" s="53">
        <v>300</v>
      </c>
      <c r="D80" s="53">
        <v>85</v>
      </c>
      <c r="E80" s="53">
        <v>7.5</v>
      </c>
      <c r="F80" s="53">
        <v>13.5</v>
      </c>
      <c r="G80" s="53">
        <v>13.5</v>
      </c>
      <c r="H80" s="53">
        <v>7</v>
      </c>
      <c r="I80" s="53">
        <v>10</v>
      </c>
      <c r="J80" s="53">
        <v>43.88</v>
      </c>
      <c r="K80" s="53">
        <v>34.44</v>
      </c>
      <c r="L80" s="53">
        <v>6045.43</v>
      </c>
      <c r="M80" s="53">
        <v>403.03</v>
      </c>
      <c r="N80" s="53">
        <v>11.74</v>
      </c>
      <c r="O80" s="53">
        <v>260.74</v>
      </c>
      <c r="P80" s="51">
        <v>41.41</v>
      </c>
      <c r="Q80" s="51">
        <v>2.44</v>
      </c>
      <c r="R80" s="53">
        <v>2.2000000000000002</v>
      </c>
    </row>
    <row r="81" spans="1:18" x14ac:dyDescent="0.25">
      <c r="A81" s="105"/>
      <c r="B81" s="51" t="s">
        <v>555</v>
      </c>
      <c r="C81" s="53">
        <v>300</v>
      </c>
      <c r="D81" s="53">
        <v>87</v>
      </c>
      <c r="E81" s="53">
        <v>9.5</v>
      </c>
      <c r="F81" s="53">
        <v>13.5</v>
      </c>
      <c r="G81" s="53">
        <v>13.5</v>
      </c>
      <c r="H81" s="53">
        <v>7</v>
      </c>
      <c r="I81" s="53">
        <v>10</v>
      </c>
      <c r="J81" s="53">
        <v>49.88</v>
      </c>
      <c r="K81" s="53">
        <v>39.15</v>
      </c>
      <c r="L81" s="53">
        <v>6495.43</v>
      </c>
      <c r="M81" s="53">
        <v>433.03</v>
      </c>
      <c r="N81" s="53">
        <v>11.41</v>
      </c>
      <c r="O81" s="53">
        <v>288.77999999999997</v>
      </c>
      <c r="P81" s="51">
        <v>43.93</v>
      </c>
      <c r="Q81" s="51">
        <v>2.41</v>
      </c>
      <c r="R81" s="53">
        <v>2.13</v>
      </c>
    </row>
    <row r="82" spans="1:18" ht="16.5" thickBot="1" x14ac:dyDescent="0.3">
      <c r="A82" s="106"/>
      <c r="B82" s="55" t="s">
        <v>556</v>
      </c>
      <c r="C82" s="54">
        <v>300</v>
      </c>
      <c r="D82" s="54">
        <v>89</v>
      </c>
      <c r="E82" s="54">
        <v>11.5</v>
      </c>
      <c r="F82" s="54">
        <v>13.5</v>
      </c>
      <c r="G82" s="54">
        <v>13.5</v>
      </c>
      <c r="H82" s="54">
        <v>7</v>
      </c>
      <c r="I82" s="54">
        <v>10</v>
      </c>
      <c r="J82" s="54">
        <v>55.88</v>
      </c>
      <c r="K82" s="54">
        <v>43.86</v>
      </c>
      <c r="L82" s="54">
        <v>6945.43</v>
      </c>
      <c r="M82" s="54">
        <v>463.03</v>
      </c>
      <c r="N82" s="54">
        <v>11.15</v>
      </c>
      <c r="O82" s="54">
        <v>315.35000000000002</v>
      </c>
      <c r="P82" s="55">
        <v>46.29</v>
      </c>
      <c r="Q82" s="55">
        <v>2.38</v>
      </c>
      <c r="R82" s="54">
        <v>2.09</v>
      </c>
    </row>
  </sheetData>
  <mergeCells count="18">
    <mergeCell ref="C4:H4"/>
    <mergeCell ref="R2:R4"/>
    <mergeCell ref="B2:B4"/>
    <mergeCell ref="F2:F3"/>
    <mergeCell ref="E2:E3"/>
    <mergeCell ref="D2:D3"/>
    <mergeCell ref="C2:C3"/>
    <mergeCell ref="I2:I4"/>
    <mergeCell ref="K2:Q2"/>
    <mergeCell ref="G3:H3"/>
    <mergeCell ref="K3:N3"/>
    <mergeCell ref="O3:Q3"/>
    <mergeCell ref="J2:J4"/>
    <mergeCell ref="A57:A65"/>
    <mergeCell ref="A41:A56"/>
    <mergeCell ref="A23:A40"/>
    <mergeCell ref="A5:A22"/>
    <mergeCell ref="A66:A8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Сталь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Гурин В.С.</dc:creator>
  <cp:lastModifiedBy>Валерий Гурин</cp:lastModifiedBy>
  <dcterms:created xsi:type="dcterms:W3CDTF">2022-09-13T03:08:51Z</dcterms:created>
  <dcterms:modified xsi:type="dcterms:W3CDTF">2025-04-13T10:27:42Z</dcterms:modified>
</cp:coreProperties>
</file>